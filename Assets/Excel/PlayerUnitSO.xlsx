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TY\UNITY_PROJECT\TeamProject_CheerUpMyHero\Assets\Excel\"/>
    </mc:Choice>
  </mc:AlternateContent>
  <xr:revisionPtr revIDLastSave="0" documentId="13_ncr:1_{34EFD44C-F255-42E8-BCCA-2E685C712AA3}" xr6:coauthVersionLast="47" xr6:coauthVersionMax="47" xr10:uidLastSave="{00000000-0000-0000-0000-000000000000}"/>
  <bookViews>
    <workbookView xWindow="-120" yWindow="-120" windowWidth="38640" windowHeight="21240" tabRatio="500" activeTab="2" xr2:uid="{00000000-000D-0000-FFFF-FFFF00000000}"/>
  </bookViews>
  <sheets>
    <sheet name="hero_unit" sheetId="1" r:id="rId1"/>
    <sheet name="hiller_unit" sheetId="2" r:id="rId2"/>
    <sheet name="allianceCommon" sheetId="3" r:id="rId3"/>
    <sheet name="allianceRare" sheetId="4" r:id="rId4"/>
    <sheet name="allianceEpic" sheetId="5" r:id="rId5"/>
    <sheet name="spawnedUnit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6" i="2" l="1"/>
  <c r="N5" i="2"/>
  <c r="N4" i="2"/>
  <c r="N3" i="2"/>
  <c r="N2" i="2"/>
  <c r="N2" i="6"/>
  <c r="N7" i="5"/>
  <c r="N6" i="5"/>
  <c r="N5" i="5"/>
  <c r="N4" i="5"/>
  <c r="N3" i="5"/>
  <c r="N2" i="5"/>
  <c r="N13" i="4"/>
  <c r="N12" i="4"/>
  <c r="N10" i="4"/>
  <c r="N9" i="4"/>
  <c r="N8" i="4"/>
  <c r="N7" i="4"/>
  <c r="N6" i="4"/>
  <c r="N5" i="4"/>
  <c r="N4" i="4"/>
  <c r="N3" i="4"/>
  <c r="N2" i="4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N6" i="1"/>
  <c r="N5" i="1"/>
  <c r="N4" i="1"/>
  <c r="N3" i="1"/>
  <c r="N2" i="1"/>
</calcChain>
</file>

<file path=xl/sharedStrings.xml><?xml version="1.0" encoding="utf-8"?>
<sst xmlns="http://schemas.openxmlformats.org/spreadsheetml/2006/main" count="464" uniqueCount="190">
  <si>
    <t>idNumber</t>
  </si>
  <si>
    <t>rarity</t>
  </si>
  <si>
    <t>unitName</t>
  </si>
  <si>
    <t>unitType</t>
  </si>
  <si>
    <t>poolType</t>
  </si>
  <si>
    <t>health</t>
  </si>
  <si>
    <t>hitBack</t>
  </si>
  <si>
    <t>atkPower</t>
  </si>
  <si>
    <t>cognizanceRange</t>
  </si>
  <si>
    <t>attackRange</t>
  </si>
  <si>
    <t>moveSpeed</t>
  </si>
  <si>
    <t>attackDelayTime</t>
  </si>
  <si>
    <t>attackRate</t>
  </si>
  <si>
    <t>isRangedAttack</t>
  </si>
  <si>
    <t>attackType</t>
  </si>
  <si>
    <t>spawnCooldown</t>
  </si>
  <si>
    <t>cost</t>
  </si>
  <si>
    <t>synergyType</t>
  </si>
  <si>
    <t>unitClass</t>
  </si>
  <si>
    <t>firstWaveSpeech</t>
  </si>
  <si>
    <t>firstWaveSpritePath</t>
  </si>
  <si>
    <t>preSpawnSpeech</t>
  </si>
  <si>
    <t>spawnSpritePath</t>
  </si>
  <si>
    <t>Legendary</t>
  </si>
  <si>
    <t>벨리나</t>
  </si>
  <si>
    <t>Dealer</t>
  </si>
  <si>
    <t>Hero_Unit1</t>
  </si>
  <si>
    <t>PierceArea</t>
  </si>
  <si>
    <t>Hero</t>
  </si>
  <si>
    <r>
      <rPr>
        <sz val="10"/>
        <color rgb="FF000000"/>
        <rFont val="나눔고딕"/>
        <family val="2"/>
        <charset val="129"/>
      </rPr>
      <t>지금 도착 중이야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나눔고딕"/>
        <family val="2"/>
        <charset val="129"/>
      </rPr>
      <t>힘내도록</t>
    </r>
    <r>
      <rPr>
        <sz val="10"/>
        <color rgb="FF000000"/>
        <rFont val="Arial"/>
        <family val="2"/>
        <charset val="1"/>
      </rPr>
      <t>.</t>
    </r>
  </si>
  <si>
    <t>HeroSprite/Hero1_2</t>
  </si>
  <si>
    <r>
      <rPr>
        <sz val="10"/>
        <color rgb="FF000000"/>
        <rFont val="나눔고딕"/>
        <family val="2"/>
        <charset val="129"/>
      </rPr>
      <t>잘 버텨줬어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나눔고딕"/>
        <family val="2"/>
        <charset val="129"/>
      </rPr>
      <t>지금 합류할게</t>
    </r>
    <r>
      <rPr>
        <sz val="10"/>
        <color rgb="FF000000"/>
        <rFont val="Arial"/>
        <family val="2"/>
        <charset val="1"/>
      </rPr>
      <t>!</t>
    </r>
  </si>
  <si>
    <t>HeroSprite/Hero1_3</t>
  </si>
  <si>
    <t>세아</t>
  </si>
  <si>
    <t>Tanker</t>
  </si>
  <si>
    <t>Hero_Unit2</t>
  </si>
  <si>
    <r>
      <rPr>
        <sz val="10"/>
        <color rgb="FF000000"/>
        <rFont val="나눔고딕"/>
        <family val="2"/>
        <charset val="129"/>
      </rPr>
      <t>지휘관님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나눔고딕"/>
        <family val="2"/>
        <charset val="129"/>
      </rPr>
      <t>지금 합류하고 있습니다</t>
    </r>
    <r>
      <rPr>
        <sz val="10"/>
        <color rgb="FF000000"/>
        <rFont val="Arial"/>
        <family val="2"/>
        <charset val="1"/>
      </rPr>
      <t>!</t>
    </r>
  </si>
  <si>
    <t>HeroSprite/Hero2_2</t>
  </si>
  <si>
    <r>
      <rPr>
        <sz val="10"/>
        <color rgb="FF000000"/>
        <rFont val="나눔고딕"/>
        <family val="2"/>
        <charset val="129"/>
      </rPr>
      <t>여러분의 방패 세아 등장</t>
    </r>
    <r>
      <rPr>
        <sz val="10"/>
        <color rgb="FF000000"/>
        <rFont val="Arial"/>
        <family val="2"/>
        <charset val="1"/>
      </rPr>
      <t>!</t>
    </r>
  </si>
  <si>
    <t>HeroSprite/Hero2_3</t>
  </si>
  <si>
    <t>아르티아</t>
  </si>
  <si>
    <t>Hero_Unit3</t>
  </si>
  <si>
    <r>
      <rPr>
        <sz val="10"/>
        <color rgb="FF000000"/>
        <rFont val="나눔고딕"/>
        <family val="2"/>
        <charset val="129"/>
      </rPr>
      <t>나 없이도 이겨야 하는 거 아냐</t>
    </r>
    <r>
      <rPr>
        <sz val="10"/>
        <color rgb="FF000000"/>
        <rFont val="Arial"/>
        <family val="2"/>
        <charset val="1"/>
      </rPr>
      <t>?</t>
    </r>
  </si>
  <si>
    <t>HeroSprite/Hero3_2</t>
  </si>
  <si>
    <r>
      <rPr>
        <sz val="10"/>
        <color rgb="FF000000"/>
        <rFont val="나눔고딕"/>
        <family val="2"/>
        <charset val="129"/>
      </rPr>
      <t>내 도움이 필요해 보이는 걸</t>
    </r>
    <r>
      <rPr>
        <sz val="10"/>
        <color rgb="FF000000"/>
        <rFont val="Arial"/>
        <family val="2"/>
        <charset val="1"/>
      </rPr>
      <t>?</t>
    </r>
  </si>
  <si>
    <t>HeroSprite/Hero3_3</t>
  </si>
  <si>
    <t>델란</t>
  </si>
  <si>
    <t>Hero_Unit4</t>
  </si>
  <si>
    <t>Area</t>
  </si>
  <si>
    <r>
      <rPr>
        <sz val="10"/>
        <color rgb="FF000000"/>
        <rFont val="맑은 고딕"/>
        <family val="3"/>
        <charset val="129"/>
      </rPr>
      <t>좌표 확인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맑은 고딕"/>
        <family val="3"/>
        <charset val="129"/>
      </rPr>
      <t>지금</t>
    </r>
    <r>
      <rPr>
        <sz val="10"/>
        <color rgb="FF000000"/>
        <rFont val="나눔고딕"/>
        <family val="2"/>
        <charset val="129"/>
      </rPr>
      <t xml:space="preserve"> </t>
    </r>
    <r>
      <rPr>
        <sz val="10"/>
        <color rgb="FF000000"/>
        <rFont val="맑은 고딕"/>
        <family val="3"/>
        <charset val="129"/>
      </rPr>
      <t>가겠습니다</t>
    </r>
    <r>
      <rPr>
        <sz val="10"/>
        <color rgb="FF000000"/>
        <rFont val="Arial"/>
        <family val="2"/>
        <charset val="1"/>
      </rPr>
      <t>.</t>
    </r>
  </si>
  <si>
    <t>HeroSprite/Hero4_2</t>
  </si>
  <si>
    <r>
      <rPr>
        <sz val="10"/>
        <color rgb="FF000000"/>
        <rFont val="나눔고딕"/>
        <family val="2"/>
        <charset val="129"/>
      </rPr>
      <t>제 마법을 선사해드리죠</t>
    </r>
    <r>
      <rPr>
        <sz val="10"/>
        <color rgb="FF000000"/>
        <rFont val="Arial"/>
        <family val="2"/>
        <charset val="1"/>
      </rPr>
      <t>.</t>
    </r>
  </si>
  <si>
    <t>HeroSprite/Hero4_3</t>
  </si>
  <si>
    <t>리네아</t>
  </si>
  <si>
    <t>Healer</t>
  </si>
  <si>
    <t>Hero_Unit5</t>
  </si>
  <si>
    <t>HeroSprite/Hero5_2</t>
  </si>
  <si>
    <r>
      <rPr>
        <sz val="10"/>
        <color rgb="FF000000"/>
        <rFont val="나눔고딕"/>
        <family val="2"/>
        <charset val="129"/>
      </rPr>
      <t>지금이 적기겠군요</t>
    </r>
    <r>
      <rPr>
        <sz val="10"/>
        <color rgb="FF000000"/>
        <rFont val="Arial"/>
        <family val="2"/>
        <charset val="1"/>
      </rPr>
      <t xml:space="preserve">. </t>
    </r>
    <r>
      <rPr>
        <sz val="10"/>
        <color rgb="FF000000"/>
        <rFont val="나눔고딕"/>
        <family val="2"/>
        <charset val="129"/>
      </rPr>
      <t>고생했습니다</t>
    </r>
    <r>
      <rPr>
        <sz val="10"/>
        <color rgb="FF000000"/>
        <rFont val="Arial"/>
        <family val="2"/>
        <charset val="1"/>
      </rPr>
      <t>.</t>
    </r>
  </si>
  <si>
    <t>HeroSprite/Hero5_3</t>
  </si>
  <si>
    <t>common</t>
  </si>
  <si>
    <t>수도승</t>
  </si>
  <si>
    <t>Allies_Unit11</t>
  </si>
  <si>
    <t>Cleric</t>
  </si>
  <si>
    <t>견습 사제</t>
  </si>
  <si>
    <t>Allies_Unit17</t>
  </si>
  <si>
    <t>rare</t>
  </si>
  <si>
    <t>황국 사제</t>
  </si>
  <si>
    <t>Allies_Unit25</t>
  </si>
  <si>
    <r>
      <rPr>
        <sz val="10"/>
        <color theme="1"/>
        <rFont val="Arial"/>
        <family val="3"/>
        <charset val="1"/>
      </rPr>
      <t>Empire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Cleric</t>
    </r>
  </si>
  <si>
    <t>에드윈벨</t>
  </si>
  <si>
    <t>Allies_Unit28</t>
  </si>
  <si>
    <r>
      <rPr>
        <sz val="10"/>
        <color theme="1"/>
        <rFont val="Arial"/>
        <family val="3"/>
        <charset val="1"/>
      </rPr>
      <t>Hero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Cleric</t>
    </r>
  </si>
  <si>
    <t>epic</t>
  </si>
  <si>
    <t>유리엘라</t>
  </si>
  <si>
    <t>Allies_Unit36</t>
  </si>
  <si>
    <t>description</t>
  </si>
  <si>
    <t>징집병</t>
  </si>
  <si>
    <t>Allies_Unit1</t>
  </si>
  <si>
    <t>Kingdom</t>
  </si>
  <si>
    <t>방패병</t>
  </si>
  <si>
    <t>Allies_Unit2</t>
  </si>
  <si>
    <t>도끼병</t>
  </si>
  <si>
    <t>Allies_Unit3</t>
  </si>
  <si>
    <r>
      <rPr>
        <sz val="10"/>
        <color theme="1"/>
        <rFont val="Arial"/>
        <family val="3"/>
        <charset val="1"/>
      </rPr>
      <t>Kingdom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Berserker</t>
    </r>
  </si>
  <si>
    <t>사냥꾼</t>
  </si>
  <si>
    <t>Allies_Unit4</t>
  </si>
  <si>
    <r>
      <rPr>
        <sz val="10"/>
        <color theme="1"/>
        <rFont val="Arial"/>
        <family val="3"/>
        <charset val="1"/>
      </rPr>
      <t>Archer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Burn</t>
    </r>
  </si>
  <si>
    <t>기마병</t>
  </si>
  <si>
    <t>Allies_Unit5</t>
  </si>
  <si>
    <t>견습 마법사</t>
  </si>
  <si>
    <t>Allies_Unit6</t>
  </si>
  <si>
    <r>
      <rPr>
        <sz val="10"/>
        <color theme="1"/>
        <rFont val="Arial"/>
        <family val="3"/>
        <charset val="1"/>
      </rPr>
      <t>Mage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Frost</t>
    </r>
  </si>
  <si>
    <t>중갑 보병</t>
  </si>
  <si>
    <t>Allies_Unit7</t>
  </si>
  <si>
    <t>궁병</t>
  </si>
  <si>
    <t>Allies_Unit8</t>
  </si>
  <si>
    <r>
      <rPr>
        <sz val="10"/>
        <color theme="1"/>
        <rFont val="Arial"/>
        <family val="3"/>
        <charset val="1"/>
      </rPr>
      <t>Kingdom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Archer</t>
    </r>
  </si>
  <si>
    <t>Allies_Unit9</t>
  </si>
  <si>
    <t>왕국 기마병</t>
  </si>
  <si>
    <t>Allies_Unit10</t>
  </si>
  <si>
    <t>근위대</t>
  </si>
  <si>
    <t>아린</t>
  </si>
  <si>
    <t>Allies_Unit12</t>
  </si>
  <si>
    <r>
      <rPr>
        <sz val="10"/>
        <color theme="1"/>
        <rFont val="Arial"/>
        <family val="3"/>
        <charset val="1"/>
      </rPr>
      <t>Hero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Archer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Frost</t>
    </r>
  </si>
  <si>
    <t>레인져</t>
  </si>
  <si>
    <t>Allies_Unit13</t>
  </si>
  <si>
    <t>Archer</t>
  </si>
  <si>
    <t>검투사</t>
  </si>
  <si>
    <t>Allies_Unit14</t>
  </si>
  <si>
    <t>Berserker</t>
  </si>
  <si>
    <t>바바리안</t>
  </si>
  <si>
    <t>Allies_Unit15</t>
  </si>
  <si>
    <t>황국 기마병</t>
  </si>
  <si>
    <t>Allies_Unit16</t>
  </si>
  <si>
    <t>Empire</t>
  </si>
  <si>
    <t>광전사</t>
  </si>
  <si>
    <t>Allies_Unit18</t>
  </si>
  <si>
    <t>마법사</t>
  </si>
  <si>
    <t>Allies_Unit19</t>
  </si>
  <si>
    <r>
      <rPr>
        <sz val="10"/>
        <color theme="1"/>
        <rFont val="Arial"/>
        <family val="3"/>
        <charset val="1"/>
      </rPr>
      <t>Mage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Burn</t>
    </r>
  </si>
  <si>
    <t>자경단원</t>
  </si>
  <si>
    <t>Allies_Unit20</t>
  </si>
  <si>
    <t>Poison</t>
  </si>
  <si>
    <t>황국 궁수</t>
  </si>
  <si>
    <t>Allies_Unit21</t>
  </si>
  <si>
    <r>
      <rPr>
        <sz val="10"/>
        <color theme="1"/>
        <rFont val="Arial"/>
        <family val="3"/>
        <charset val="1"/>
      </rPr>
      <t>Empire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Archer</t>
    </r>
  </si>
  <si>
    <t>황국 병사</t>
  </si>
  <si>
    <t>Allies_Unit22</t>
  </si>
  <si>
    <t>황국 마법사</t>
  </si>
  <si>
    <t>Allies_Unit23</t>
  </si>
  <si>
    <r>
      <rPr>
        <sz val="10"/>
        <color theme="1"/>
        <rFont val="Arial"/>
        <family val="3"/>
        <charset val="1"/>
      </rPr>
      <t>Empire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Mage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Burn</t>
    </r>
  </si>
  <si>
    <t>크리스</t>
  </si>
  <si>
    <t>Allies_Unit24</t>
  </si>
  <si>
    <r>
      <rPr>
        <sz val="10"/>
        <color theme="1"/>
        <rFont val="Arial"/>
        <family val="3"/>
        <charset val="1"/>
      </rPr>
      <t>Hero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Frost</t>
    </r>
  </si>
  <si>
    <t>황국 방패병</t>
  </si>
  <si>
    <t>Allies_Unit26</t>
  </si>
  <si>
    <t>신입 용기사</t>
  </si>
  <si>
    <t>Allies_Unit38</t>
  </si>
  <si>
    <t>Berserker/Burn</t>
  </si>
  <si>
    <t>시프</t>
  </si>
  <si>
    <t>Allies_Unit27</t>
  </si>
  <si>
    <t>근위대장</t>
  </si>
  <si>
    <t>Allies_Unit29</t>
  </si>
  <si>
    <t>엘라니아</t>
  </si>
  <si>
    <t>Allies_Unit30</t>
  </si>
  <si>
    <r>
      <rPr>
        <sz val="10"/>
        <color theme="1"/>
        <rFont val="Arial"/>
        <family val="3"/>
        <charset val="1"/>
      </rPr>
      <t>Hero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Archer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Poison</t>
    </r>
  </si>
  <si>
    <t>오필리아</t>
  </si>
  <si>
    <t>Allies_Unit31</t>
  </si>
  <si>
    <r>
      <rPr>
        <sz val="10"/>
        <color theme="1"/>
        <rFont val="Arial"/>
        <family val="3"/>
        <charset val="1"/>
      </rPr>
      <t>Hero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Mage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Burn</t>
    </r>
  </si>
  <si>
    <t>저격병</t>
  </si>
  <si>
    <t>Allies_Unit32</t>
  </si>
  <si>
    <r>
      <rPr>
        <sz val="10"/>
        <color theme="1"/>
        <rFont val="Arial"/>
        <family val="3"/>
        <charset val="1"/>
      </rPr>
      <t>Archer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Frost</t>
    </r>
  </si>
  <si>
    <t>용기사</t>
  </si>
  <si>
    <t>Allies_Unit33</t>
  </si>
  <si>
    <r>
      <rPr>
        <sz val="10"/>
        <color theme="1"/>
        <rFont val="Arial"/>
        <family val="3"/>
        <charset val="1"/>
      </rPr>
      <t>Berserker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Burn</t>
    </r>
  </si>
  <si>
    <t>나예트</t>
  </si>
  <si>
    <t>Allies_Unit34</t>
  </si>
  <si>
    <r>
      <rPr>
        <sz val="10"/>
        <color theme="1"/>
        <rFont val="Arial"/>
        <family val="3"/>
        <charset val="1"/>
      </rPr>
      <t>Hero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Mage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Frost</t>
    </r>
  </si>
  <si>
    <t>페일라</t>
  </si>
  <si>
    <t>Allies_Unit35</t>
  </si>
  <si>
    <r>
      <rPr>
        <sz val="10"/>
        <color theme="1"/>
        <rFont val="Arial"/>
        <family val="3"/>
        <charset val="1"/>
      </rPr>
      <t>Hero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Berserker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Burn</t>
    </r>
  </si>
  <si>
    <t>미레일</t>
  </si>
  <si>
    <t>Allies_Unit37</t>
  </si>
  <si>
    <t>골렘</t>
  </si>
  <si>
    <t>Allies_UnitGolem</t>
  </si>
  <si>
    <r>
      <t>Hero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Burn</t>
    </r>
    <r>
      <rPr>
        <sz val="10"/>
        <color theme="1"/>
        <rFont val="Arial"/>
        <family val="2"/>
        <charset val="1"/>
      </rPr>
      <t>/</t>
    </r>
    <r>
      <rPr>
        <sz val="10"/>
        <color theme="1"/>
        <rFont val="Arial"/>
        <family val="3"/>
        <charset val="1"/>
      </rPr>
      <t>Frost</t>
    </r>
    <phoneticPr fontId="12" type="noConversion"/>
  </si>
  <si>
    <t>Area</t>
    <phoneticPr fontId="12" type="noConversion"/>
  </si>
  <si>
    <t>healAmount</t>
  </si>
  <si>
    <t>maxTargetCount</t>
  </si>
  <si>
    <t>heroTitle</t>
  </si>
  <si>
    <t>검 용사</t>
  </si>
  <si>
    <t>방패 용사</t>
  </si>
  <si>
    <t>궁수 용사</t>
  </si>
  <si>
    <t>마법사 용사</t>
  </si>
  <si>
    <t>사제 용사</t>
  </si>
  <si>
    <r>
      <t>위기를 기회로 만들 때 입니다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나눔고딕"/>
        <family val="2"/>
        <charset val="129"/>
      </rPr>
      <t>지휘관</t>
    </r>
    <r>
      <rPr>
        <sz val="10"/>
        <color rgb="FF000000"/>
        <rFont val="Arial"/>
        <family val="2"/>
        <charset val="1"/>
      </rPr>
      <t>.</t>
    </r>
    <phoneticPr fontId="12" type="noConversion"/>
  </si>
  <si>
    <t>셀레네</t>
  </si>
  <si>
    <t>다이아나</t>
  </si>
  <si>
    <t>칼렌시아</t>
  </si>
  <si>
    <t>Dealer</t>
    <phoneticPr fontId="12" type="noConversion"/>
  </si>
  <si>
    <t>PierceArea</t>
    <phoneticPr fontId="12" type="noConversion"/>
  </si>
  <si>
    <t>Hero/Poison</t>
    <phoneticPr fontId="12" type="noConversion"/>
  </si>
  <si>
    <t>Hero/Berserker</t>
    <phoneticPr fontId="12" type="noConversion"/>
  </si>
  <si>
    <t>Hero/Empire</t>
    <phoneticPr fontId="12" type="noConversion"/>
  </si>
  <si>
    <t>Allies_Unit39</t>
    <phoneticPr fontId="12" type="noConversion"/>
  </si>
  <si>
    <t>Allies_Unit40</t>
    <phoneticPr fontId="12" type="noConversion"/>
  </si>
  <si>
    <t>Allies_Unit41</t>
    <phoneticPr fontId="12" type="noConversion"/>
  </si>
  <si>
    <r>
      <rPr>
        <sz val="10"/>
        <color theme="1"/>
        <rFont val="돋움"/>
        <family val="3"/>
        <charset val="129"/>
      </rPr>
      <t>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기초적인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병사입니다</t>
    </r>
    <r>
      <rPr>
        <sz val="10"/>
        <color theme="1"/>
        <rFont val="Arial"/>
        <family val="2"/>
      </rPr>
      <t>.</t>
    </r>
    <phoneticPr fontId="12" type="noConversion"/>
  </si>
  <si>
    <r>
      <rPr>
        <sz val="10"/>
        <color theme="1"/>
        <rFont val="돋움"/>
        <family val="3"/>
        <charset val="129"/>
      </rPr>
      <t>왕국의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정규군으로써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체계적인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훈련을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받은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병사입니다</t>
    </r>
    <r>
      <rPr>
        <sz val="10"/>
        <color theme="1"/>
        <rFont val="Arial"/>
        <family val="2"/>
      </rPr>
      <t>.</t>
    </r>
    <phoneticPr fontId="12" type="noConversion"/>
  </si>
  <si>
    <r>
      <rPr>
        <sz val="10"/>
        <color theme="1"/>
        <rFont val="돋움"/>
        <family val="3"/>
        <charset val="129"/>
      </rPr>
      <t>용병의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삶이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따분해진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바바리안들이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병과입니다</t>
    </r>
    <r>
      <rPr>
        <sz val="10"/>
        <color theme="1"/>
        <rFont val="Arial"/>
        <family val="2"/>
      </rPr>
      <t>.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</si>
</sst>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나눔고딕"/>
      <family val="2"/>
      <charset val="129"/>
    </font>
    <font>
      <b/>
      <sz val="10"/>
      <color theme="1"/>
      <name val="Arial"/>
      <family val="2"/>
    </font>
    <font>
      <sz val="10"/>
      <color theme="1"/>
      <name val="Arial"/>
      <family val="2"/>
      <charset val="1"/>
    </font>
    <font>
      <sz val="10"/>
      <color theme="1"/>
      <name val="Arial"/>
      <family val="2"/>
    </font>
    <font>
      <sz val="10"/>
      <color theme="1"/>
      <name val="나눔고딕"/>
      <family val="2"/>
      <charset val="129"/>
    </font>
    <font>
      <sz val="10"/>
      <color rgb="FF000000"/>
      <name val="Arial"/>
      <family val="2"/>
      <charset val="1"/>
    </font>
    <font>
      <sz val="10"/>
      <color rgb="FF000000"/>
      <name val="맑은 고딕"/>
      <family val="3"/>
      <charset val="129"/>
    </font>
    <font>
      <sz val="10"/>
      <color theme="1"/>
      <name val="Arial"/>
      <family val="3"/>
      <charset val="1"/>
    </font>
    <font>
      <sz val="10"/>
      <color theme="1"/>
      <name val="돋움"/>
      <family val="3"/>
      <charset val="129"/>
    </font>
    <font>
      <b/>
      <sz val="10"/>
      <color theme="1"/>
      <name val="Arial"/>
      <family val="2"/>
      <charset val="1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</font>
    <font>
      <sz val="8"/>
      <name val="나눔고딕"/>
      <family val="2"/>
      <charset val="129"/>
    </font>
    <font>
      <sz val="10"/>
      <color rgb="FF000000"/>
      <name val="나눔고딕"/>
      <family val="3"/>
      <charset val="129"/>
    </font>
    <font>
      <sz val="10"/>
      <color rgb="FF000000"/>
      <name val="Arial"/>
      <family val="3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CCCCC"/>
      </patternFill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3" fillId="0" borderId="0" xfId="0" applyFont="1"/>
    <xf numFmtId="0" fontId="7" fillId="0" borderId="0" xfId="0" applyFont="1"/>
    <xf numFmtId="0" fontId="4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 wrapText="1"/>
    </xf>
    <xf numFmtId="0" fontId="14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000"/>
  <sheetViews>
    <sheetView zoomScale="85" zoomScaleNormal="85" workbookViewId="0">
      <selection activeCell="AA1" sqref="AA1"/>
    </sheetView>
  </sheetViews>
  <sheetFormatPr defaultColWidth="11.375" defaultRowHeight="15.75" customHeight="1" x14ac:dyDescent="0.2"/>
  <cols>
    <col min="21" max="21" width="38.75" customWidth="1"/>
    <col min="22" max="22" width="27.375" customWidth="1"/>
    <col min="23" max="23" width="36.75" customWidth="1"/>
    <col min="24" max="24" width="30.375" customWidth="1"/>
  </cols>
  <sheetData>
    <row r="1" spans="1:27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169</v>
      </c>
      <c r="T1" s="3" t="s">
        <v>18</v>
      </c>
      <c r="U1" s="3" t="s">
        <v>19</v>
      </c>
      <c r="V1" s="2" t="s">
        <v>20</v>
      </c>
      <c r="W1" s="3" t="s">
        <v>21</v>
      </c>
      <c r="X1" s="2" t="s">
        <v>22</v>
      </c>
      <c r="Y1" s="3" t="s">
        <v>167</v>
      </c>
      <c r="Z1" s="7" t="s">
        <v>168</v>
      </c>
      <c r="AA1" s="3" t="s">
        <v>75</v>
      </c>
    </row>
    <row r="2" spans="1:27" ht="13.5" thickBot="1" x14ac:dyDescent="0.25">
      <c r="A2" s="3">
        <v>150001</v>
      </c>
      <c r="B2" s="3" t="s">
        <v>23</v>
      </c>
      <c r="C2" s="4" t="s">
        <v>24</v>
      </c>
      <c r="D2" s="2" t="s">
        <v>25</v>
      </c>
      <c r="E2" s="3" t="s">
        <v>26</v>
      </c>
      <c r="F2" s="3">
        <v>30000</v>
      </c>
      <c r="G2" s="3">
        <v>3</v>
      </c>
      <c r="H2" s="3">
        <v>8660</v>
      </c>
      <c r="I2" s="3">
        <v>4</v>
      </c>
      <c r="J2" s="3">
        <v>4.8</v>
      </c>
      <c r="K2" s="3">
        <v>3.5</v>
      </c>
      <c r="L2" s="3">
        <v>1.1000000000000001</v>
      </c>
      <c r="M2" s="3">
        <v>1.6</v>
      </c>
      <c r="N2" s="3" t="b">
        <f>TRUE()</f>
        <v>1</v>
      </c>
      <c r="O2" s="2" t="s">
        <v>27</v>
      </c>
      <c r="P2" s="3"/>
      <c r="Q2" s="3"/>
      <c r="R2" s="3"/>
      <c r="S2" s="17" t="s">
        <v>170</v>
      </c>
      <c r="T2" s="2" t="s">
        <v>28</v>
      </c>
      <c r="U2" s="5" t="s">
        <v>29</v>
      </c>
      <c r="V2" s="2" t="s">
        <v>30</v>
      </c>
      <c r="W2" s="5" t="s">
        <v>31</v>
      </c>
      <c r="X2" s="2" t="s">
        <v>32</v>
      </c>
      <c r="Y2" s="3"/>
      <c r="Z2" s="3">
        <v>7</v>
      </c>
      <c r="AA2" s="3"/>
    </row>
    <row r="3" spans="1:27" ht="13.5" thickBot="1" x14ac:dyDescent="0.25">
      <c r="A3" s="3">
        <v>150002</v>
      </c>
      <c r="B3" s="3" t="s">
        <v>23</v>
      </c>
      <c r="C3" s="4" t="s">
        <v>33</v>
      </c>
      <c r="D3" s="2" t="s">
        <v>34</v>
      </c>
      <c r="E3" s="3" t="s">
        <v>35</v>
      </c>
      <c r="F3" s="3">
        <v>37500</v>
      </c>
      <c r="G3" s="3">
        <v>1</v>
      </c>
      <c r="H3" s="3">
        <v>4500</v>
      </c>
      <c r="I3" s="3">
        <v>3.5</v>
      </c>
      <c r="J3" s="3">
        <v>4.2</v>
      </c>
      <c r="K3" s="3">
        <v>3</v>
      </c>
      <c r="L3" s="3">
        <v>1.6</v>
      </c>
      <c r="M3" s="3">
        <v>1.6</v>
      </c>
      <c r="N3" s="3" t="b">
        <f>TRUE()</f>
        <v>1</v>
      </c>
      <c r="O3" s="2" t="s">
        <v>27</v>
      </c>
      <c r="P3" s="3"/>
      <c r="Q3" s="3"/>
      <c r="R3" s="3"/>
      <c r="S3" s="17" t="s">
        <v>171</v>
      </c>
      <c r="T3" s="3" t="s">
        <v>28</v>
      </c>
      <c r="U3" s="5" t="s">
        <v>36</v>
      </c>
      <c r="V3" s="2" t="s">
        <v>37</v>
      </c>
      <c r="W3" s="5" t="s">
        <v>38</v>
      </c>
      <c r="X3" s="2" t="s">
        <v>39</v>
      </c>
      <c r="Y3" s="3"/>
      <c r="Z3" s="3">
        <v>7</v>
      </c>
      <c r="AA3" s="3"/>
    </row>
    <row r="4" spans="1:27" ht="13.5" thickBot="1" x14ac:dyDescent="0.25">
      <c r="A4" s="3">
        <v>150003</v>
      </c>
      <c r="B4" s="3" t="s">
        <v>23</v>
      </c>
      <c r="C4" s="4" t="s">
        <v>40</v>
      </c>
      <c r="D4" s="2" t="s">
        <v>25</v>
      </c>
      <c r="E4" s="3" t="s">
        <v>41</v>
      </c>
      <c r="F4" s="3">
        <v>18750</v>
      </c>
      <c r="G4" s="3">
        <v>5</v>
      </c>
      <c r="H4" s="3">
        <v>8000</v>
      </c>
      <c r="I4" s="3">
        <v>6.5</v>
      </c>
      <c r="J4" s="3">
        <v>7.2</v>
      </c>
      <c r="K4" s="3">
        <v>3.8</v>
      </c>
      <c r="L4" s="3">
        <v>0.5</v>
      </c>
      <c r="M4" s="3">
        <v>2.5</v>
      </c>
      <c r="N4" s="3" t="b">
        <f>TRUE()</f>
        <v>1</v>
      </c>
      <c r="O4" s="2" t="s">
        <v>27</v>
      </c>
      <c r="P4" s="3"/>
      <c r="Q4" s="3"/>
      <c r="R4" s="3"/>
      <c r="S4" s="17" t="s">
        <v>172</v>
      </c>
      <c r="T4" s="3" t="s">
        <v>28</v>
      </c>
      <c r="U4" s="5" t="s">
        <v>42</v>
      </c>
      <c r="V4" s="2" t="s">
        <v>43</v>
      </c>
      <c r="W4" s="5" t="s">
        <v>44</v>
      </c>
      <c r="X4" s="2" t="s">
        <v>45</v>
      </c>
      <c r="Y4" s="3"/>
      <c r="Z4" s="3">
        <v>7</v>
      </c>
      <c r="AA4" s="3"/>
    </row>
    <row r="5" spans="1:27" ht="14.25" thickBot="1" x14ac:dyDescent="0.3">
      <c r="A5" s="3">
        <v>150004</v>
      </c>
      <c r="B5" s="3" t="s">
        <v>23</v>
      </c>
      <c r="C5" s="4" t="s">
        <v>46</v>
      </c>
      <c r="D5" s="2" t="s">
        <v>25</v>
      </c>
      <c r="E5" s="3" t="s">
        <v>47</v>
      </c>
      <c r="F5" s="3">
        <v>19500</v>
      </c>
      <c r="G5" s="3">
        <v>4</v>
      </c>
      <c r="H5" s="3">
        <v>9750</v>
      </c>
      <c r="I5" s="3">
        <v>5.9</v>
      </c>
      <c r="J5" s="3">
        <v>5</v>
      </c>
      <c r="K5" s="3">
        <v>3.6</v>
      </c>
      <c r="L5" s="3">
        <v>1.5</v>
      </c>
      <c r="M5" s="3">
        <v>1.7</v>
      </c>
      <c r="N5" s="3" t="b">
        <f>TRUE()</f>
        <v>1</v>
      </c>
      <c r="O5" s="2" t="s">
        <v>166</v>
      </c>
      <c r="P5" s="3"/>
      <c r="Q5" s="3"/>
      <c r="R5" s="3"/>
      <c r="S5" s="17" t="s">
        <v>173</v>
      </c>
      <c r="T5" s="3" t="s">
        <v>28</v>
      </c>
      <c r="U5" s="6" t="s">
        <v>49</v>
      </c>
      <c r="V5" s="2" t="s">
        <v>50</v>
      </c>
      <c r="W5" s="5" t="s">
        <v>51</v>
      </c>
      <c r="X5" s="2" t="s">
        <v>52</v>
      </c>
      <c r="Y5" s="3"/>
      <c r="Z5" s="3">
        <v>7</v>
      </c>
      <c r="AA5" s="3"/>
    </row>
    <row r="6" spans="1:27" ht="13.5" thickBot="1" x14ac:dyDescent="0.25">
      <c r="A6" s="3">
        <v>150005</v>
      </c>
      <c r="B6" s="3" t="s">
        <v>23</v>
      </c>
      <c r="C6" s="4" t="s">
        <v>53</v>
      </c>
      <c r="D6" s="2" t="s">
        <v>54</v>
      </c>
      <c r="E6" s="3" t="s">
        <v>55</v>
      </c>
      <c r="F6" s="3">
        <v>12200</v>
      </c>
      <c r="G6" s="3">
        <v>4</v>
      </c>
      <c r="H6" s="3">
        <v>3375</v>
      </c>
      <c r="I6" s="3">
        <v>6</v>
      </c>
      <c r="J6" s="3">
        <v>5</v>
      </c>
      <c r="K6" s="3">
        <v>3.6</v>
      </c>
      <c r="L6" s="3">
        <v>1</v>
      </c>
      <c r="M6" s="3">
        <v>1.9</v>
      </c>
      <c r="N6" s="3" t="b">
        <f>TRUE()</f>
        <v>1</v>
      </c>
      <c r="O6" s="2" t="s">
        <v>48</v>
      </c>
      <c r="P6" s="3"/>
      <c r="Q6" s="3"/>
      <c r="R6" s="3"/>
      <c r="S6" s="17" t="s">
        <v>174</v>
      </c>
      <c r="T6" s="3" t="s">
        <v>28</v>
      </c>
      <c r="U6" s="5" t="s">
        <v>175</v>
      </c>
      <c r="V6" s="2" t="s">
        <v>56</v>
      </c>
      <c r="W6" s="5" t="s">
        <v>57</v>
      </c>
      <c r="X6" s="2" t="s">
        <v>58</v>
      </c>
      <c r="Y6" s="3">
        <v>1125</v>
      </c>
      <c r="Z6" s="3">
        <v>7</v>
      </c>
      <c r="AA6" s="3"/>
    </row>
    <row r="7" spans="1:27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U11" s="3"/>
      <c r="V11" s="3"/>
      <c r="W11" s="3"/>
      <c r="X11" s="3"/>
      <c r="Y11" s="3"/>
      <c r="Z11" s="3"/>
      <c r="AA11" s="3"/>
    </row>
    <row r="12" spans="1:27" ht="12.7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honeticPr fontId="12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6"/>
  <sheetViews>
    <sheetView zoomScale="130" zoomScaleNormal="130" workbookViewId="0">
      <selection activeCell="S3" sqref="S3"/>
    </sheetView>
  </sheetViews>
  <sheetFormatPr defaultColWidth="11.375" defaultRowHeight="15.75" customHeight="1" x14ac:dyDescent="0.2"/>
  <cols>
    <col min="18" max="18" width="14.75" customWidth="1"/>
  </cols>
  <sheetData>
    <row r="1" spans="1:1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t="s">
        <v>75</v>
      </c>
    </row>
    <row r="2" spans="1:19" ht="12.75" x14ac:dyDescent="0.2">
      <c r="A2" s="3">
        <v>100009</v>
      </c>
      <c r="B2" s="3" t="s">
        <v>59</v>
      </c>
      <c r="C2" s="4" t="s">
        <v>60</v>
      </c>
      <c r="D2" s="3" t="s">
        <v>54</v>
      </c>
      <c r="E2" s="2" t="s">
        <v>97</v>
      </c>
      <c r="F2" s="3">
        <v>1000</v>
      </c>
      <c r="G2" s="3">
        <v>3</v>
      </c>
      <c r="H2" s="3">
        <v>125</v>
      </c>
      <c r="I2" s="3">
        <v>3</v>
      </c>
      <c r="J2" s="3">
        <v>1</v>
      </c>
      <c r="K2" s="3">
        <v>1</v>
      </c>
      <c r="L2" s="3">
        <v>0.7</v>
      </c>
      <c r="M2" s="3">
        <v>6.3</v>
      </c>
      <c r="N2" s="3" t="b">
        <f>TRUE()</f>
        <v>1</v>
      </c>
      <c r="O2" s="3" t="s">
        <v>48</v>
      </c>
      <c r="P2" s="3">
        <v>6.6</v>
      </c>
      <c r="Q2" s="3">
        <v>900</v>
      </c>
      <c r="R2" s="7" t="s">
        <v>62</v>
      </c>
      <c r="S2" s="7"/>
    </row>
    <row r="3" spans="1:19" ht="12.75" x14ac:dyDescent="0.2">
      <c r="A3" s="3">
        <v>105007</v>
      </c>
      <c r="B3" s="3" t="s">
        <v>59</v>
      </c>
      <c r="C3" s="4" t="s">
        <v>63</v>
      </c>
      <c r="D3" s="3" t="s">
        <v>54</v>
      </c>
      <c r="E3" s="3" t="s">
        <v>64</v>
      </c>
      <c r="F3" s="3">
        <v>1000</v>
      </c>
      <c r="G3" s="3">
        <v>3</v>
      </c>
      <c r="H3" s="3">
        <v>250</v>
      </c>
      <c r="I3" s="3">
        <v>3.5</v>
      </c>
      <c r="J3" s="7"/>
      <c r="K3" s="3">
        <v>1</v>
      </c>
      <c r="L3" s="3">
        <v>0.6</v>
      </c>
      <c r="M3" s="3">
        <v>6.25</v>
      </c>
      <c r="N3" s="3" t="b">
        <f>FALSE()</f>
        <v>0</v>
      </c>
      <c r="O3" s="7"/>
      <c r="P3" s="3">
        <v>6.6</v>
      </c>
      <c r="Q3" s="3">
        <v>525</v>
      </c>
      <c r="R3" s="7" t="s">
        <v>62</v>
      </c>
      <c r="S3" s="7"/>
    </row>
    <row r="4" spans="1:19" ht="15.75" customHeight="1" x14ac:dyDescent="0.2">
      <c r="A4" s="3">
        <v>110005</v>
      </c>
      <c r="B4" s="3" t="s">
        <v>65</v>
      </c>
      <c r="C4" s="4" t="s">
        <v>66</v>
      </c>
      <c r="D4" s="3" t="s">
        <v>54</v>
      </c>
      <c r="E4" s="3" t="s">
        <v>67</v>
      </c>
      <c r="F4" s="3">
        <v>2250</v>
      </c>
      <c r="G4" s="3">
        <v>3</v>
      </c>
      <c r="H4" s="3">
        <v>450</v>
      </c>
      <c r="I4" s="3">
        <v>3.5</v>
      </c>
      <c r="J4" s="3"/>
      <c r="K4" s="3">
        <v>1.2</v>
      </c>
      <c r="L4" s="3">
        <v>1</v>
      </c>
      <c r="M4" s="3">
        <v>2.2999999999999998</v>
      </c>
      <c r="N4" s="3" t="b">
        <f>FALSE()</f>
        <v>0</v>
      </c>
      <c r="O4" s="3"/>
      <c r="P4" s="3">
        <v>37.5</v>
      </c>
      <c r="Q4" s="3">
        <v>4200</v>
      </c>
      <c r="R4" s="8" t="s">
        <v>68</v>
      </c>
    </row>
    <row r="5" spans="1:19" ht="12.75" x14ac:dyDescent="0.2">
      <c r="A5" s="3">
        <v>115002</v>
      </c>
      <c r="B5" s="3" t="s">
        <v>65</v>
      </c>
      <c r="C5" s="9" t="s">
        <v>69</v>
      </c>
      <c r="D5" s="3" t="s">
        <v>54</v>
      </c>
      <c r="E5" s="2" t="s">
        <v>70</v>
      </c>
      <c r="F5" s="3">
        <v>1750</v>
      </c>
      <c r="G5" s="3">
        <v>4</v>
      </c>
      <c r="H5" s="3">
        <v>619</v>
      </c>
      <c r="I5" s="3">
        <v>3.7</v>
      </c>
      <c r="J5" s="3">
        <v>0.3</v>
      </c>
      <c r="K5" s="3">
        <v>1.4</v>
      </c>
      <c r="L5" s="3">
        <v>1.02</v>
      </c>
      <c r="M5" s="3">
        <v>2.56</v>
      </c>
      <c r="N5" s="3" t="b">
        <f>TRUE()</f>
        <v>1</v>
      </c>
      <c r="O5" s="3" t="s">
        <v>48</v>
      </c>
      <c r="P5" s="3">
        <v>371</v>
      </c>
      <c r="Q5" s="3">
        <v>4050</v>
      </c>
      <c r="R5" s="8" t="s">
        <v>71</v>
      </c>
    </row>
    <row r="6" spans="1:19" ht="12.75" x14ac:dyDescent="0.2">
      <c r="A6" s="3">
        <v>125002</v>
      </c>
      <c r="B6" s="3" t="s">
        <v>72</v>
      </c>
      <c r="C6" s="10" t="s">
        <v>73</v>
      </c>
      <c r="D6" s="3" t="s">
        <v>54</v>
      </c>
      <c r="E6" s="2" t="s">
        <v>74</v>
      </c>
      <c r="F6" s="3">
        <v>3050</v>
      </c>
      <c r="G6" s="3">
        <v>4</v>
      </c>
      <c r="H6" s="3">
        <v>750</v>
      </c>
      <c r="I6" s="3">
        <v>3.5</v>
      </c>
      <c r="J6" s="3">
        <v>0.4</v>
      </c>
      <c r="K6" s="3">
        <v>1.5</v>
      </c>
      <c r="L6" s="3">
        <v>0.9</v>
      </c>
      <c r="M6" s="3">
        <v>3.3</v>
      </c>
      <c r="N6" s="3" t="b">
        <f>TRUE()</f>
        <v>1</v>
      </c>
      <c r="O6" s="3" t="s">
        <v>48</v>
      </c>
      <c r="P6" s="3">
        <v>491</v>
      </c>
      <c r="Q6" s="3">
        <v>5100</v>
      </c>
      <c r="R6" s="8" t="s">
        <v>71</v>
      </c>
    </row>
  </sheetData>
  <phoneticPr fontId="1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A985"/>
  <sheetViews>
    <sheetView tabSelected="1" zoomScale="115" zoomScaleNormal="115" workbookViewId="0">
      <selection activeCell="M5" sqref="M5"/>
    </sheetView>
  </sheetViews>
  <sheetFormatPr defaultColWidth="11.375" defaultRowHeight="15.75" customHeight="1" x14ac:dyDescent="0.2"/>
  <cols>
    <col min="18" max="18" width="16.75" customWidth="1"/>
    <col min="19" max="19" width="16.375" customWidth="1"/>
  </cols>
  <sheetData>
    <row r="1" spans="1:2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12</v>
      </c>
      <c r="N1" s="1" t="s">
        <v>13</v>
      </c>
      <c r="O1" s="1" t="s">
        <v>14</v>
      </c>
      <c r="P1" s="11" t="s">
        <v>15</v>
      </c>
      <c r="Q1" s="2" t="s">
        <v>16</v>
      </c>
      <c r="R1" s="3" t="s">
        <v>17</v>
      </c>
      <c r="S1" s="12" t="s">
        <v>75</v>
      </c>
      <c r="T1" s="3" t="s">
        <v>167</v>
      </c>
      <c r="U1" s="7" t="s">
        <v>168</v>
      </c>
      <c r="V1" s="7" t="s">
        <v>75</v>
      </c>
      <c r="W1" s="7"/>
      <c r="X1" s="7"/>
      <c r="Y1" s="7"/>
      <c r="Z1" s="7"/>
      <c r="AA1" s="7"/>
    </row>
    <row r="2" spans="1:27" ht="12.75" x14ac:dyDescent="0.2">
      <c r="A2" s="3">
        <v>100001</v>
      </c>
      <c r="B2" s="3" t="s">
        <v>59</v>
      </c>
      <c r="C2" s="4" t="s">
        <v>76</v>
      </c>
      <c r="D2" s="3" t="s">
        <v>25</v>
      </c>
      <c r="E2" s="3" t="s">
        <v>77</v>
      </c>
      <c r="F2" s="3">
        <v>250</v>
      </c>
      <c r="G2" s="3">
        <v>3</v>
      </c>
      <c r="H2" s="3">
        <v>40</v>
      </c>
      <c r="I2" s="3">
        <v>1.4</v>
      </c>
      <c r="J2" s="3"/>
      <c r="K2" s="3">
        <v>1</v>
      </c>
      <c r="L2" s="3">
        <v>0.8</v>
      </c>
      <c r="M2" s="3">
        <v>1.85</v>
      </c>
      <c r="N2" s="3" t="b">
        <f>FALSE()</f>
        <v>0</v>
      </c>
      <c r="O2" s="7"/>
      <c r="P2" s="3">
        <v>6</v>
      </c>
      <c r="Q2" s="3">
        <v>75</v>
      </c>
      <c r="R2" s="7" t="s">
        <v>78</v>
      </c>
      <c r="S2" s="7" t="s">
        <v>78</v>
      </c>
      <c r="T2" s="3"/>
      <c r="U2" s="7">
        <v>3</v>
      </c>
      <c r="V2" s="7" t="s">
        <v>187</v>
      </c>
      <c r="W2" s="7"/>
      <c r="X2" s="7"/>
      <c r="Y2" s="7"/>
      <c r="Z2" s="7"/>
      <c r="AA2" s="7"/>
    </row>
    <row r="3" spans="1:27" ht="12.75" x14ac:dyDescent="0.2">
      <c r="A3" s="3">
        <v>100002</v>
      </c>
      <c r="B3" s="3" t="s">
        <v>59</v>
      </c>
      <c r="C3" s="4" t="s">
        <v>79</v>
      </c>
      <c r="D3" s="3" t="s">
        <v>34</v>
      </c>
      <c r="E3" s="3" t="s">
        <v>80</v>
      </c>
      <c r="F3" s="3">
        <v>1000</v>
      </c>
      <c r="G3" s="3">
        <v>1</v>
      </c>
      <c r="H3" s="3">
        <v>13</v>
      </c>
      <c r="I3" s="3">
        <v>1.1000000000000001</v>
      </c>
      <c r="J3" s="3">
        <v>0.3</v>
      </c>
      <c r="K3" s="3">
        <v>0.8</v>
      </c>
      <c r="L3" s="3">
        <v>0.8</v>
      </c>
      <c r="M3" s="3">
        <v>3.35</v>
      </c>
      <c r="N3" s="3" t="b">
        <f>TRUE()</f>
        <v>1</v>
      </c>
      <c r="O3" s="3" t="s">
        <v>48</v>
      </c>
      <c r="P3" s="3">
        <v>6</v>
      </c>
      <c r="Q3" s="3">
        <v>150</v>
      </c>
      <c r="R3" s="7" t="s">
        <v>78</v>
      </c>
      <c r="S3" s="7" t="s">
        <v>78</v>
      </c>
      <c r="T3" s="3"/>
      <c r="U3" s="7">
        <v>3</v>
      </c>
      <c r="V3" s="7" t="s">
        <v>188</v>
      </c>
      <c r="W3" s="7"/>
      <c r="X3" s="7"/>
      <c r="Y3" s="7"/>
      <c r="Z3" s="7"/>
      <c r="AA3" s="7"/>
    </row>
    <row r="4" spans="1:27" ht="15.75" customHeight="1" x14ac:dyDescent="0.2">
      <c r="A4" s="3">
        <v>100003</v>
      </c>
      <c r="B4" s="3" t="s">
        <v>59</v>
      </c>
      <c r="C4" s="4" t="s">
        <v>81</v>
      </c>
      <c r="D4" s="3" t="s">
        <v>25</v>
      </c>
      <c r="E4" s="3" t="s">
        <v>82</v>
      </c>
      <c r="F4" s="3">
        <v>500</v>
      </c>
      <c r="G4" s="3">
        <v>3</v>
      </c>
      <c r="H4" s="3">
        <v>124</v>
      </c>
      <c r="I4" s="3">
        <v>1.5</v>
      </c>
      <c r="J4" s="7"/>
      <c r="K4" s="3">
        <v>1.2</v>
      </c>
      <c r="L4" s="3">
        <v>0.8</v>
      </c>
      <c r="M4" s="3">
        <v>1.35</v>
      </c>
      <c r="N4" s="3" t="b">
        <f>FALSE()</f>
        <v>0</v>
      </c>
      <c r="O4" s="7"/>
      <c r="P4" s="3">
        <v>6</v>
      </c>
      <c r="Q4" s="3">
        <v>300</v>
      </c>
      <c r="R4" s="8" t="s">
        <v>83</v>
      </c>
      <c r="S4" s="8" t="s">
        <v>83</v>
      </c>
      <c r="T4" s="3"/>
      <c r="U4" s="7">
        <v>3</v>
      </c>
      <c r="V4" s="7" t="s">
        <v>189</v>
      </c>
      <c r="W4" s="7"/>
      <c r="X4" s="7"/>
      <c r="Y4" s="7"/>
      <c r="Z4" s="7"/>
      <c r="AA4" s="7"/>
    </row>
    <row r="5" spans="1:27" ht="13.5" x14ac:dyDescent="0.25">
      <c r="A5" s="3">
        <v>100004</v>
      </c>
      <c r="B5" s="3" t="s">
        <v>59</v>
      </c>
      <c r="C5" s="13" t="s">
        <v>84</v>
      </c>
      <c r="D5" s="3" t="s">
        <v>25</v>
      </c>
      <c r="E5" s="3" t="s">
        <v>85</v>
      </c>
      <c r="F5" s="3">
        <v>1000</v>
      </c>
      <c r="G5" s="3">
        <v>3</v>
      </c>
      <c r="H5" s="3">
        <v>250</v>
      </c>
      <c r="I5" s="3">
        <v>5.5</v>
      </c>
      <c r="J5" s="7"/>
      <c r="K5" s="3">
        <v>1</v>
      </c>
      <c r="L5" s="3">
        <v>0.8</v>
      </c>
      <c r="M5" s="3">
        <v>5</v>
      </c>
      <c r="N5" s="3" t="b">
        <f>FALSE()</f>
        <v>0</v>
      </c>
      <c r="O5" s="7"/>
      <c r="P5" s="3">
        <v>6.6</v>
      </c>
      <c r="Q5" s="3">
        <v>450</v>
      </c>
      <c r="R5" s="8" t="s">
        <v>86</v>
      </c>
      <c r="S5" s="8" t="s">
        <v>86</v>
      </c>
      <c r="T5" s="3"/>
      <c r="U5" s="7">
        <v>3</v>
      </c>
      <c r="V5" s="7"/>
      <c r="W5" s="7"/>
      <c r="X5" s="7"/>
      <c r="Y5" s="7"/>
      <c r="Z5" s="7"/>
      <c r="AA5" s="7"/>
    </row>
    <row r="6" spans="1:27" ht="12.75" x14ac:dyDescent="0.2">
      <c r="A6" s="3">
        <v>100005</v>
      </c>
      <c r="B6" s="3" t="s">
        <v>59</v>
      </c>
      <c r="C6" s="4" t="s">
        <v>87</v>
      </c>
      <c r="D6" s="3" t="s">
        <v>25</v>
      </c>
      <c r="E6" s="3" t="s">
        <v>88</v>
      </c>
      <c r="F6" s="3">
        <v>1550</v>
      </c>
      <c r="G6" s="3">
        <v>5</v>
      </c>
      <c r="H6" s="3">
        <v>320</v>
      </c>
      <c r="I6" s="3">
        <v>1.4</v>
      </c>
      <c r="J6" s="7"/>
      <c r="K6" s="3">
        <v>3</v>
      </c>
      <c r="L6" s="3">
        <v>1.8</v>
      </c>
      <c r="M6" s="3">
        <v>3.75</v>
      </c>
      <c r="N6" s="3" t="b">
        <f>FALSE()</f>
        <v>0</v>
      </c>
      <c r="O6" s="7"/>
      <c r="P6" s="3">
        <v>6</v>
      </c>
      <c r="Q6" s="3">
        <v>800</v>
      </c>
      <c r="R6" s="7" t="s">
        <v>78</v>
      </c>
      <c r="S6" s="7" t="s">
        <v>78</v>
      </c>
      <c r="T6" s="3"/>
      <c r="U6" s="7">
        <v>3</v>
      </c>
      <c r="V6" s="7"/>
      <c r="W6" s="7"/>
      <c r="X6" s="7"/>
      <c r="Y6" s="7"/>
      <c r="Z6" s="7"/>
      <c r="AA6" s="7"/>
    </row>
    <row r="7" spans="1:27" ht="12.75" x14ac:dyDescent="0.2">
      <c r="A7" s="3">
        <v>100006</v>
      </c>
      <c r="B7" s="3" t="s">
        <v>59</v>
      </c>
      <c r="C7" s="4" t="s">
        <v>89</v>
      </c>
      <c r="D7" s="3" t="s">
        <v>25</v>
      </c>
      <c r="E7" s="3" t="s">
        <v>90</v>
      </c>
      <c r="F7" s="3">
        <v>750</v>
      </c>
      <c r="G7" s="3">
        <v>3</v>
      </c>
      <c r="H7" s="3">
        <v>175</v>
      </c>
      <c r="I7" s="3">
        <v>3.2</v>
      </c>
      <c r="J7" s="3">
        <v>0.6</v>
      </c>
      <c r="K7" s="3">
        <v>1</v>
      </c>
      <c r="L7" s="3">
        <v>1</v>
      </c>
      <c r="M7" s="3">
        <v>2.4500000000000002</v>
      </c>
      <c r="N7" s="3" t="b">
        <f>TRUE()</f>
        <v>1</v>
      </c>
      <c r="O7" s="3" t="s">
        <v>48</v>
      </c>
      <c r="P7" s="3">
        <v>6</v>
      </c>
      <c r="Q7" s="3">
        <v>975</v>
      </c>
      <c r="R7" s="8" t="s">
        <v>91</v>
      </c>
      <c r="S7" s="8" t="s">
        <v>91</v>
      </c>
      <c r="T7" s="3"/>
      <c r="U7" s="7">
        <v>3</v>
      </c>
      <c r="V7" s="7"/>
      <c r="W7" s="7"/>
      <c r="X7" s="7"/>
      <c r="Y7" s="7"/>
      <c r="Z7" s="7"/>
      <c r="AA7" s="7"/>
    </row>
    <row r="8" spans="1:27" ht="12.75" x14ac:dyDescent="0.2">
      <c r="A8" s="3">
        <v>100007</v>
      </c>
      <c r="B8" s="3" t="s">
        <v>59</v>
      </c>
      <c r="C8" s="4" t="s">
        <v>92</v>
      </c>
      <c r="D8" s="3" t="s">
        <v>34</v>
      </c>
      <c r="E8" s="3" t="s">
        <v>93</v>
      </c>
      <c r="F8" s="3">
        <v>1750</v>
      </c>
      <c r="G8" s="3">
        <v>1</v>
      </c>
      <c r="H8" s="3">
        <v>450</v>
      </c>
      <c r="I8" s="3">
        <v>1.5</v>
      </c>
      <c r="J8" s="7"/>
      <c r="K8" s="3">
        <v>1</v>
      </c>
      <c r="L8" s="3">
        <v>1</v>
      </c>
      <c r="M8" s="3">
        <v>2.65</v>
      </c>
      <c r="N8" s="3" t="b">
        <f>FALSE()</f>
        <v>0</v>
      </c>
      <c r="O8" s="7"/>
      <c r="P8" s="3">
        <v>12.6</v>
      </c>
      <c r="Q8" s="3">
        <v>1200</v>
      </c>
      <c r="R8" s="7" t="s">
        <v>78</v>
      </c>
      <c r="S8" s="7" t="s">
        <v>78</v>
      </c>
      <c r="T8" s="3"/>
      <c r="U8" s="7">
        <v>3</v>
      </c>
      <c r="V8" s="7"/>
      <c r="W8" s="7"/>
      <c r="X8" s="7"/>
      <c r="Y8" s="7"/>
      <c r="Z8" s="7"/>
      <c r="AA8" s="7"/>
    </row>
    <row r="9" spans="1:27" ht="12.75" x14ac:dyDescent="0.2">
      <c r="A9" s="3">
        <v>100008</v>
      </c>
      <c r="B9" s="3" t="s">
        <v>59</v>
      </c>
      <c r="C9" s="4" t="s">
        <v>94</v>
      </c>
      <c r="D9" s="3" t="s">
        <v>25</v>
      </c>
      <c r="E9" s="3" t="s">
        <v>95</v>
      </c>
      <c r="F9" s="3">
        <v>1200</v>
      </c>
      <c r="G9" s="3">
        <v>3</v>
      </c>
      <c r="H9" s="3">
        <v>875</v>
      </c>
      <c r="I9" s="3">
        <v>5.5</v>
      </c>
      <c r="J9" s="7"/>
      <c r="K9" s="3">
        <v>1</v>
      </c>
      <c r="L9" s="3">
        <v>1</v>
      </c>
      <c r="M9" s="3">
        <v>3.75</v>
      </c>
      <c r="N9" s="3" t="b">
        <f>FALSE()</f>
        <v>0</v>
      </c>
      <c r="O9" s="7"/>
      <c r="P9" s="3">
        <v>30.6</v>
      </c>
      <c r="Q9" s="3">
        <v>1500</v>
      </c>
      <c r="R9" s="8" t="s">
        <v>96</v>
      </c>
      <c r="S9" s="8" t="s">
        <v>96</v>
      </c>
      <c r="T9" s="3"/>
      <c r="U9" s="7">
        <v>3</v>
      </c>
      <c r="V9" s="7"/>
      <c r="W9" s="7"/>
      <c r="X9" s="7"/>
      <c r="Y9" s="7"/>
      <c r="Z9" s="7"/>
      <c r="AA9" s="7"/>
    </row>
    <row r="10" spans="1:27" ht="12.75" x14ac:dyDescent="0.2">
      <c r="A10" s="3">
        <v>100009</v>
      </c>
      <c r="B10" s="3" t="s">
        <v>59</v>
      </c>
      <c r="C10" s="4" t="s">
        <v>60</v>
      </c>
      <c r="D10" s="3" t="s">
        <v>54</v>
      </c>
      <c r="E10" s="2" t="s">
        <v>97</v>
      </c>
      <c r="F10" s="3">
        <v>1000</v>
      </c>
      <c r="G10" s="3">
        <v>3</v>
      </c>
      <c r="H10" s="3">
        <v>125</v>
      </c>
      <c r="I10" s="3">
        <v>3</v>
      </c>
      <c r="J10" s="3">
        <v>1</v>
      </c>
      <c r="K10" s="3">
        <v>1</v>
      </c>
      <c r="L10" s="3">
        <v>0.7</v>
      </c>
      <c r="M10" s="3">
        <v>4.0999999999999996</v>
      </c>
      <c r="N10" s="3" t="b">
        <f>TRUE()</f>
        <v>1</v>
      </c>
      <c r="O10" s="3" t="s">
        <v>48</v>
      </c>
      <c r="P10" s="3">
        <v>6.6</v>
      </c>
      <c r="Q10" s="3">
        <v>900</v>
      </c>
      <c r="R10" s="7" t="s">
        <v>62</v>
      </c>
      <c r="S10" s="7" t="s">
        <v>62</v>
      </c>
      <c r="T10" s="3">
        <v>125</v>
      </c>
      <c r="U10" s="7">
        <v>5</v>
      </c>
      <c r="V10" s="7"/>
      <c r="W10" s="7"/>
      <c r="X10" s="7"/>
      <c r="Y10" s="7"/>
      <c r="Z10" s="7"/>
      <c r="AA10" s="7"/>
    </row>
    <row r="11" spans="1:27" ht="12.75" x14ac:dyDescent="0.2">
      <c r="A11" s="3">
        <v>100010</v>
      </c>
      <c r="B11" s="3" t="s">
        <v>59</v>
      </c>
      <c r="C11" s="4" t="s">
        <v>98</v>
      </c>
      <c r="D11" s="3" t="s">
        <v>25</v>
      </c>
      <c r="E11" s="3" t="s">
        <v>99</v>
      </c>
      <c r="F11" s="3">
        <v>1750</v>
      </c>
      <c r="G11" s="3">
        <v>3</v>
      </c>
      <c r="H11" s="3">
        <v>263</v>
      </c>
      <c r="I11" s="3">
        <v>1.4</v>
      </c>
      <c r="J11" s="3">
        <v>1.9</v>
      </c>
      <c r="K11" s="3">
        <v>3.8</v>
      </c>
      <c r="L11" s="3">
        <v>0.8</v>
      </c>
      <c r="M11" s="3">
        <v>4.2</v>
      </c>
      <c r="N11" s="3" t="b">
        <f>TRUE()</f>
        <v>1</v>
      </c>
      <c r="O11" s="3" t="s">
        <v>27</v>
      </c>
      <c r="P11" s="3">
        <v>58.6</v>
      </c>
      <c r="Q11" s="3">
        <v>1800</v>
      </c>
      <c r="R11" s="7" t="s">
        <v>78</v>
      </c>
      <c r="S11" s="7" t="s">
        <v>78</v>
      </c>
      <c r="T11" s="3"/>
      <c r="U11" s="7">
        <v>3</v>
      </c>
      <c r="V11" s="7"/>
      <c r="W11" s="7"/>
      <c r="X11" s="7"/>
      <c r="Y11" s="7"/>
      <c r="Z11" s="7"/>
      <c r="AA11" s="7"/>
    </row>
    <row r="12" spans="1:27" ht="13.5" x14ac:dyDescent="0.25">
      <c r="A12" s="3">
        <v>105001</v>
      </c>
      <c r="B12" s="3" t="s">
        <v>59</v>
      </c>
      <c r="C12" s="13" t="s">
        <v>100</v>
      </c>
      <c r="D12" s="3" t="s">
        <v>34</v>
      </c>
      <c r="E12" s="2" t="s">
        <v>61</v>
      </c>
      <c r="F12" s="3">
        <v>2500</v>
      </c>
      <c r="G12" s="3">
        <v>1</v>
      </c>
      <c r="H12" s="3">
        <v>350</v>
      </c>
      <c r="I12" s="3">
        <v>1.5</v>
      </c>
      <c r="J12" s="3">
        <v>0.5</v>
      </c>
      <c r="K12" s="3">
        <v>0.8</v>
      </c>
      <c r="L12" s="3">
        <v>1.8</v>
      </c>
      <c r="M12" s="3">
        <v>3.35</v>
      </c>
      <c r="N12" s="3" t="b">
        <f>TRUE()</f>
        <v>1</v>
      </c>
      <c r="O12" s="3" t="s">
        <v>48</v>
      </c>
      <c r="P12" s="3">
        <v>54.6</v>
      </c>
      <c r="Q12" s="3">
        <v>1950</v>
      </c>
      <c r="R12" s="7" t="s">
        <v>78</v>
      </c>
      <c r="S12" s="7" t="s">
        <v>78</v>
      </c>
      <c r="T12" s="3"/>
      <c r="U12" s="7">
        <v>3</v>
      </c>
      <c r="V12" s="7"/>
      <c r="W12" s="7"/>
      <c r="X12" s="7"/>
      <c r="Y12" s="7"/>
      <c r="Z12" s="7"/>
      <c r="AA12" s="7"/>
    </row>
    <row r="13" spans="1:27" ht="12.75" x14ac:dyDescent="0.2">
      <c r="A13" s="3">
        <v>105002</v>
      </c>
      <c r="B13" s="3" t="s">
        <v>59</v>
      </c>
      <c r="C13" s="10" t="s">
        <v>101</v>
      </c>
      <c r="D13" s="3" t="s">
        <v>25</v>
      </c>
      <c r="E13" s="2" t="s">
        <v>102</v>
      </c>
      <c r="F13" s="3">
        <v>2250</v>
      </c>
      <c r="G13" s="3">
        <v>1</v>
      </c>
      <c r="H13" s="3">
        <v>1375</v>
      </c>
      <c r="I13" s="3">
        <v>6</v>
      </c>
      <c r="J13" s="3">
        <v>3.5</v>
      </c>
      <c r="K13" s="3">
        <v>0.9</v>
      </c>
      <c r="L13" s="3">
        <v>1.1000000000000001</v>
      </c>
      <c r="M13" s="3">
        <v>4</v>
      </c>
      <c r="N13" s="3" t="b">
        <f>TRUE()</f>
        <v>1</v>
      </c>
      <c r="O13" s="3" t="s">
        <v>27</v>
      </c>
      <c r="P13" s="3">
        <v>450</v>
      </c>
      <c r="Q13" s="3">
        <v>2250</v>
      </c>
      <c r="R13" s="8" t="s">
        <v>103</v>
      </c>
      <c r="S13" s="8" t="s">
        <v>103</v>
      </c>
      <c r="T13" s="3"/>
      <c r="U13" s="7">
        <v>3</v>
      </c>
      <c r="V13" s="7"/>
      <c r="W13" s="7"/>
      <c r="X13" s="7"/>
      <c r="Y13" s="7"/>
      <c r="Z13" s="7"/>
      <c r="AA13" s="7"/>
    </row>
    <row r="14" spans="1:27" ht="13.5" x14ac:dyDescent="0.25">
      <c r="A14" s="3">
        <v>105003</v>
      </c>
      <c r="B14" s="3" t="s">
        <v>59</v>
      </c>
      <c r="C14" s="13" t="s">
        <v>104</v>
      </c>
      <c r="D14" s="3" t="s">
        <v>25</v>
      </c>
      <c r="E14" s="3" t="s">
        <v>105</v>
      </c>
      <c r="F14" s="3">
        <v>1250</v>
      </c>
      <c r="G14" s="3">
        <v>5</v>
      </c>
      <c r="H14" s="3">
        <v>44</v>
      </c>
      <c r="I14" s="3">
        <v>5.4</v>
      </c>
      <c r="J14" s="3">
        <v>0.5</v>
      </c>
      <c r="K14" s="3">
        <v>3.1</v>
      </c>
      <c r="L14" s="3">
        <v>1.2</v>
      </c>
      <c r="M14" s="3">
        <v>3.9</v>
      </c>
      <c r="N14" s="3" t="b">
        <f>TRUE()</f>
        <v>1</v>
      </c>
      <c r="O14" s="3" t="s">
        <v>48</v>
      </c>
      <c r="P14" s="3">
        <v>21.6</v>
      </c>
      <c r="Q14" s="3">
        <v>825</v>
      </c>
      <c r="R14" s="14" t="s">
        <v>106</v>
      </c>
      <c r="S14" s="14" t="s">
        <v>106</v>
      </c>
      <c r="T14" s="3"/>
      <c r="U14" s="7">
        <v>3</v>
      </c>
      <c r="V14" s="7"/>
      <c r="W14" s="7"/>
      <c r="X14" s="7"/>
      <c r="Y14" s="7"/>
      <c r="Z14" s="7"/>
      <c r="AA14" s="7"/>
    </row>
    <row r="15" spans="1:27" ht="12.75" x14ac:dyDescent="0.2">
      <c r="A15" s="3">
        <v>105004</v>
      </c>
      <c r="B15" s="3" t="s">
        <v>59</v>
      </c>
      <c r="C15" s="4" t="s">
        <v>107</v>
      </c>
      <c r="D15" s="3" t="s">
        <v>34</v>
      </c>
      <c r="E15" s="3" t="s">
        <v>108</v>
      </c>
      <c r="F15" s="3">
        <v>1750</v>
      </c>
      <c r="G15" s="3">
        <v>1</v>
      </c>
      <c r="H15" s="3">
        <v>250</v>
      </c>
      <c r="I15" s="3">
        <v>1.5</v>
      </c>
      <c r="J15" s="7"/>
      <c r="K15" s="3">
        <v>0.5</v>
      </c>
      <c r="L15" s="3">
        <v>0.6</v>
      </c>
      <c r="M15" s="3">
        <v>2.25</v>
      </c>
      <c r="N15" s="3" t="b">
        <f>FALSE()</f>
        <v>0</v>
      </c>
      <c r="O15" s="7"/>
      <c r="P15" s="3">
        <v>17.600000000000001</v>
      </c>
      <c r="Q15" s="3">
        <v>1035</v>
      </c>
      <c r="R15" s="7" t="s">
        <v>109</v>
      </c>
      <c r="S15" s="7" t="s">
        <v>109</v>
      </c>
      <c r="T15" s="3"/>
      <c r="U15" s="7">
        <v>3</v>
      </c>
      <c r="V15" s="7"/>
      <c r="W15" s="7"/>
      <c r="X15" s="7"/>
      <c r="Y15" s="7"/>
      <c r="Z15" s="7"/>
      <c r="AA15" s="7"/>
    </row>
    <row r="16" spans="1:27" ht="13.5" x14ac:dyDescent="0.25">
      <c r="A16" s="3">
        <v>105005</v>
      </c>
      <c r="B16" s="3" t="s">
        <v>59</v>
      </c>
      <c r="C16" s="13" t="s">
        <v>110</v>
      </c>
      <c r="D16" s="3" t="s">
        <v>34</v>
      </c>
      <c r="E16" s="3" t="s">
        <v>111</v>
      </c>
      <c r="F16" s="3">
        <v>2250</v>
      </c>
      <c r="G16" s="3">
        <v>1</v>
      </c>
      <c r="H16" s="3">
        <v>330</v>
      </c>
      <c r="I16" s="3">
        <v>1.5</v>
      </c>
      <c r="J16" s="7"/>
      <c r="K16" s="3">
        <v>0.5</v>
      </c>
      <c r="L16" s="3">
        <v>0.6</v>
      </c>
      <c r="M16" s="3">
        <v>1.65</v>
      </c>
      <c r="N16" s="3" t="b">
        <f>FALSE()</f>
        <v>0</v>
      </c>
      <c r="O16" s="7"/>
      <c r="P16" s="3">
        <v>17.600000000000001</v>
      </c>
      <c r="Q16" s="3">
        <v>1440</v>
      </c>
      <c r="R16" s="7" t="s">
        <v>109</v>
      </c>
      <c r="S16" s="7" t="s">
        <v>109</v>
      </c>
      <c r="T16" s="3"/>
      <c r="U16" s="7">
        <v>3</v>
      </c>
      <c r="V16" s="7"/>
      <c r="W16" s="7"/>
      <c r="X16" s="7"/>
      <c r="Y16" s="7"/>
      <c r="Z16" s="7"/>
      <c r="AA16" s="7"/>
    </row>
    <row r="17" spans="1:27" ht="12.75" x14ac:dyDescent="0.2">
      <c r="A17" s="3">
        <v>105006</v>
      </c>
      <c r="B17" s="3" t="s">
        <v>59</v>
      </c>
      <c r="C17" s="4" t="s">
        <v>112</v>
      </c>
      <c r="D17" s="3" t="s">
        <v>25</v>
      </c>
      <c r="E17" s="3" t="s">
        <v>113</v>
      </c>
      <c r="F17" s="3">
        <v>1500</v>
      </c>
      <c r="G17" s="3">
        <v>3</v>
      </c>
      <c r="H17" s="3">
        <v>375</v>
      </c>
      <c r="I17" s="3">
        <v>1.4</v>
      </c>
      <c r="J17" s="3">
        <v>0.5</v>
      </c>
      <c r="K17" s="3">
        <v>3.5</v>
      </c>
      <c r="L17" s="3">
        <v>0.9</v>
      </c>
      <c r="M17" s="3">
        <v>4</v>
      </c>
      <c r="N17" s="3" t="b">
        <f>TRUE()</f>
        <v>1</v>
      </c>
      <c r="O17" s="3" t="s">
        <v>48</v>
      </c>
      <c r="P17" s="3">
        <v>19.600000000000001</v>
      </c>
      <c r="Q17" s="3">
        <v>1650</v>
      </c>
      <c r="R17" s="7" t="s">
        <v>114</v>
      </c>
      <c r="S17" s="7" t="s">
        <v>114</v>
      </c>
      <c r="T17" s="3"/>
      <c r="U17" s="7">
        <v>3</v>
      </c>
      <c r="V17" s="7"/>
      <c r="W17" s="7"/>
      <c r="X17" s="7"/>
      <c r="Y17" s="7"/>
      <c r="Z17" s="7"/>
      <c r="AA17" s="7"/>
    </row>
    <row r="18" spans="1:27" ht="12.75" x14ac:dyDescent="0.2">
      <c r="A18" s="3">
        <v>105007</v>
      </c>
      <c r="B18" s="3" t="s">
        <v>59</v>
      </c>
      <c r="C18" s="4" t="s">
        <v>63</v>
      </c>
      <c r="D18" s="3" t="s">
        <v>54</v>
      </c>
      <c r="E18" s="3" t="s">
        <v>64</v>
      </c>
      <c r="F18" s="3">
        <v>1000</v>
      </c>
      <c r="G18" s="3">
        <v>3</v>
      </c>
      <c r="H18" s="3">
        <v>250</v>
      </c>
      <c r="I18" s="3">
        <v>3.5</v>
      </c>
      <c r="J18" s="7"/>
      <c r="K18" s="3">
        <v>1</v>
      </c>
      <c r="L18" s="3">
        <v>0.6</v>
      </c>
      <c r="M18" s="3">
        <v>4.3</v>
      </c>
      <c r="N18" s="3" t="b">
        <f>FALSE()</f>
        <v>0</v>
      </c>
      <c r="O18" s="7"/>
      <c r="P18" s="3">
        <v>6.6</v>
      </c>
      <c r="Q18" s="3">
        <v>525</v>
      </c>
      <c r="R18" s="7" t="s">
        <v>62</v>
      </c>
      <c r="S18" s="7" t="s">
        <v>62</v>
      </c>
      <c r="T18" s="3">
        <v>245</v>
      </c>
      <c r="U18" s="7">
        <v>5</v>
      </c>
      <c r="V18" s="7"/>
      <c r="W18" s="7"/>
      <c r="X18" s="7"/>
      <c r="Y18" s="7"/>
      <c r="Z18" s="7"/>
      <c r="AA18" s="7"/>
    </row>
    <row r="19" spans="1:27" ht="13.5" x14ac:dyDescent="0.25">
      <c r="A19" s="3">
        <v>105008</v>
      </c>
      <c r="B19" s="3" t="s">
        <v>59</v>
      </c>
      <c r="C19" s="13" t="s">
        <v>115</v>
      </c>
      <c r="D19" s="3" t="s">
        <v>25</v>
      </c>
      <c r="E19" s="3" t="s">
        <v>116</v>
      </c>
      <c r="F19" s="3">
        <v>1500</v>
      </c>
      <c r="G19" s="3">
        <v>4</v>
      </c>
      <c r="H19" s="3">
        <v>1000</v>
      </c>
      <c r="I19" s="3">
        <v>1.6</v>
      </c>
      <c r="J19" s="7"/>
      <c r="K19" s="3">
        <v>0.5</v>
      </c>
      <c r="L19" s="3">
        <v>2.8</v>
      </c>
      <c r="M19" s="3">
        <v>3.85</v>
      </c>
      <c r="N19" s="3" t="b">
        <f>FALSE()</f>
        <v>0</v>
      </c>
      <c r="O19" s="7"/>
      <c r="P19" s="3">
        <v>17.3</v>
      </c>
      <c r="Q19" s="3">
        <v>1490</v>
      </c>
      <c r="R19" s="7" t="s">
        <v>109</v>
      </c>
      <c r="S19" s="7" t="s">
        <v>109</v>
      </c>
      <c r="T19" s="3"/>
      <c r="U19" s="7">
        <v>3</v>
      </c>
      <c r="V19" s="7"/>
      <c r="W19" s="7"/>
      <c r="X19" s="7"/>
      <c r="Y19" s="7"/>
      <c r="Z19" s="7"/>
      <c r="AA19" s="7"/>
    </row>
    <row r="20" spans="1:27" ht="12.75" x14ac:dyDescent="0.2">
      <c r="A20" s="3">
        <v>105009</v>
      </c>
      <c r="B20" s="3" t="s">
        <v>59</v>
      </c>
      <c r="C20" s="4" t="s">
        <v>117</v>
      </c>
      <c r="D20" s="3" t="s">
        <v>25</v>
      </c>
      <c r="E20" s="3" t="s">
        <v>118</v>
      </c>
      <c r="F20" s="3">
        <v>1000</v>
      </c>
      <c r="G20" s="3">
        <v>4</v>
      </c>
      <c r="H20" s="3">
        <v>275</v>
      </c>
      <c r="I20" s="3">
        <v>3.5</v>
      </c>
      <c r="J20" s="3">
        <v>0.6</v>
      </c>
      <c r="K20" s="3">
        <v>1</v>
      </c>
      <c r="L20" s="3">
        <v>2</v>
      </c>
      <c r="M20" s="3">
        <v>2.95</v>
      </c>
      <c r="N20" s="3" t="b">
        <f>TRUE()</f>
        <v>1</v>
      </c>
      <c r="O20" s="3" t="s">
        <v>48</v>
      </c>
      <c r="P20" s="3">
        <v>6</v>
      </c>
      <c r="Q20" s="3">
        <v>1050</v>
      </c>
      <c r="R20" s="8" t="s">
        <v>119</v>
      </c>
      <c r="S20" s="8" t="s">
        <v>119</v>
      </c>
      <c r="T20" s="3"/>
      <c r="U20" s="7">
        <v>3</v>
      </c>
      <c r="V20" s="7"/>
      <c r="W20" s="7"/>
      <c r="X20" s="7"/>
      <c r="Y20" s="7"/>
      <c r="Z20" s="7"/>
      <c r="AA20" s="7"/>
    </row>
    <row r="21" spans="1:27" ht="12.75" x14ac:dyDescent="0.2">
      <c r="A21" s="3">
        <v>105010</v>
      </c>
      <c r="B21" s="3" t="s">
        <v>59</v>
      </c>
      <c r="C21" s="4" t="s">
        <v>120</v>
      </c>
      <c r="D21" s="3" t="s">
        <v>25</v>
      </c>
      <c r="E21" s="3" t="s">
        <v>121</v>
      </c>
      <c r="F21" s="3">
        <v>600</v>
      </c>
      <c r="G21" s="3">
        <v>3</v>
      </c>
      <c r="H21" s="3">
        <v>35</v>
      </c>
      <c r="I21" s="3">
        <v>1.5</v>
      </c>
      <c r="J21" s="7"/>
      <c r="K21" s="3">
        <v>1.3</v>
      </c>
      <c r="L21" s="3">
        <v>0.6</v>
      </c>
      <c r="M21" s="3">
        <v>1.05</v>
      </c>
      <c r="N21" s="3" t="b">
        <f>FALSE()</f>
        <v>0</v>
      </c>
      <c r="O21" s="7"/>
      <c r="P21" s="3">
        <v>6</v>
      </c>
      <c r="Q21" s="3">
        <v>300</v>
      </c>
      <c r="R21" s="7" t="s">
        <v>122</v>
      </c>
      <c r="S21" s="7" t="s">
        <v>122</v>
      </c>
      <c r="T21" s="3"/>
      <c r="U21" s="7">
        <v>3</v>
      </c>
      <c r="V21" s="7"/>
      <c r="W21" s="7"/>
      <c r="X21" s="7"/>
      <c r="Y21" s="7"/>
      <c r="Z21" s="7"/>
      <c r="AA21" s="7"/>
    </row>
    <row r="22" spans="1:27" ht="13.5" x14ac:dyDescent="0.25">
      <c r="A22" s="2"/>
      <c r="B22" s="2"/>
      <c r="C22" s="15"/>
      <c r="D22" s="2"/>
      <c r="E22" s="2"/>
      <c r="F22" s="2"/>
      <c r="G22" s="2"/>
      <c r="H22" s="2"/>
      <c r="I22" s="2"/>
      <c r="K22" s="2"/>
      <c r="L22" s="2"/>
      <c r="M22" s="2"/>
      <c r="N22" s="2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2.75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2.75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2.75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2.75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2.75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2.75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2.75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2.75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2.75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2.75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2.75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2.75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2.75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2.75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2.75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2.75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2.75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2.75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2.75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2.75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2.75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2.75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2.75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2.75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2.75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2.75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2.75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2.75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2.7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2.75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2.75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2.75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2.75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75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2.75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2.75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2.75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2.75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2.75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2.75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2.75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2.75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2.75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2.75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2.75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2.75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75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75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75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75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75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75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75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75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75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75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75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75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75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75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75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75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75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75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75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75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75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75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75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75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75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75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75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75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75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75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75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75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75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75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75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75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75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75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75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75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75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75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75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75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75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75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75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75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75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75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75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75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75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75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75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75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75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75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75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75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2.75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2.75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2.75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2.75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2.75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2.75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2.75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2.75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2.75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2.75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2.75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2.75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2.75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2.75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2.75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2.75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2.75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2.75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2.75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2.75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2.75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2.75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2.75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2.75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2.75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2.75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2.75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2.75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2.75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2.75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2.75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2.75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2.75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2.75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2.75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2.75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2.75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2.75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2.75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2.75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2.75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2.75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2.75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2.75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2.75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2.75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2.75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2.75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2.75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2.75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2.75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2.75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2.75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2.75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2.75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2.75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2.75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2.75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2.75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2.75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2.75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2.75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2.75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2.75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2.75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2.75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2.75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2.75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2.75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2.75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2.75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2.75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2.75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2.75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2.75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2.75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2.75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2.75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2.75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2.75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2.75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2.75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2.75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2.75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2.75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2.75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2.75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2.75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2.75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2.75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2.75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2.75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2.75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2.75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2.75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2.75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2.75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2.75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2.75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2.75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2.75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2.75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2.75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2.75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2.75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2.75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2.75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2.75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2.75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2.75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2.75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2.75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2.75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2.75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2.75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2.75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2.75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2.75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2.75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2.75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2.75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2.75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2.75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2.75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2.75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2.75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2.75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2.75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2.75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2.75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2.75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2.75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2.75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2.75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2.75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2.75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2.75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2.75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2.75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2.75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2.75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2.75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2.75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2.75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2.75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2.75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2.75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2.75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2.75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2.75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2.75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2.75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2.75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2.75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2.75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2.75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2.75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2.75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2.75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2.75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2.75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2.75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2.75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2.75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2.75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2.75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2.75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2.75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2.75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2.75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2.75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2.75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2.75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2.75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2.75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2.75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2.75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2.75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2.75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2.75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2.75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2.75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2.75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2.75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2.75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2.75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2.75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2.75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2.75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2.75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2.75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2.75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2.75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2.75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2.75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2.75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2.75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2.75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2.75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2.75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2.75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2.75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2.75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2.75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2.75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2.75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2.75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2.75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2.75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2.75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2.75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2.75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2.75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2.75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2.75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2.75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2.75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2.75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2.75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2.75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2.75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2.75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2.75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2.75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2.75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2.75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2.75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2.75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2.75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2.75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2.75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2.75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2.75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2.75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2.75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2.75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2.75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2.75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2.75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2.75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2.75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2.75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2.75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2.75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2.75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2.75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2.75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2.75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2.75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2.75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2.75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2.75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2.75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2.75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2.75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2.75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2.75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2.75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2.75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2.75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2.75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2.75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2.75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2.75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2.75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2.75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2.75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2.75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2.75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2.75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2.75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2.75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2.75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2.75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2.75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2.75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2.75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2.75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2.75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2.75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2.75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2.75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2.75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2.75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2.75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2.75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2.75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2.75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2.75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2.75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2.75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2.75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2.75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2.75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2.75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2.75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2.75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2.75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2.75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2.75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2.75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2.75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2.75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2.75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2.75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2.75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2.75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2.75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2.75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2.75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2.75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2.75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2.75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2.75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2.75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2.75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2.75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2.75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2.75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2.75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2.75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2.75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2.75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2.75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2.75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2.75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2.75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2.75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2.75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2.75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2.75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2.75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2.75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2.75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2.75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2.75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2.75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2.75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2.75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2.75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2.75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2.75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2.75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2.75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2.75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2.75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2.75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2.75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2.75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2.75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2.75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2.75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2.75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2.75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2.75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2.75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2.75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2.75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2.75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2.75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2.75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2.75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2.75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2.75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2.75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2.75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2.75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2.75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2.75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2.75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2.75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2.75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2.75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2.75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2.75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2.75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2.75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2.75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2.75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2.75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2.75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2.75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2.75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2.75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2.75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2.75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2.75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2.75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2.75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2.75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2.75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2.75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2.75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2.75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2.75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2.75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2.75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2.75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2.75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2.75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2.75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2.75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</sheetData>
  <phoneticPr fontId="12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A1000"/>
  <sheetViews>
    <sheetView topLeftCell="K1" zoomScale="130" zoomScaleNormal="130" workbookViewId="0">
      <selection activeCell="U1" sqref="U1"/>
    </sheetView>
  </sheetViews>
  <sheetFormatPr defaultColWidth="11.375" defaultRowHeight="15.75" customHeight="1" x14ac:dyDescent="0.2"/>
  <cols>
    <col min="18" max="18" width="16.125" customWidth="1"/>
  </cols>
  <sheetData>
    <row r="1" spans="1:2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167</v>
      </c>
      <c r="T1" s="7" t="s">
        <v>168</v>
      </c>
      <c r="U1" s="7" t="s">
        <v>75</v>
      </c>
      <c r="V1" s="7"/>
      <c r="W1" s="7"/>
      <c r="X1" s="7"/>
      <c r="Y1" s="7"/>
      <c r="Z1" s="7"/>
      <c r="AA1" s="7"/>
    </row>
    <row r="2" spans="1:27" ht="15.75" customHeight="1" x14ac:dyDescent="0.2">
      <c r="A2" s="3">
        <v>110001</v>
      </c>
      <c r="B2" s="3" t="s">
        <v>65</v>
      </c>
      <c r="C2" s="4" t="s">
        <v>123</v>
      </c>
      <c r="D2" s="3" t="s">
        <v>25</v>
      </c>
      <c r="E2" s="2" t="s">
        <v>124</v>
      </c>
      <c r="F2" s="3">
        <v>2750</v>
      </c>
      <c r="G2" s="3">
        <v>4</v>
      </c>
      <c r="H2" s="3">
        <v>657</v>
      </c>
      <c r="I2" s="3">
        <v>5.8</v>
      </c>
      <c r="J2" s="3"/>
      <c r="K2" s="3">
        <v>0.8</v>
      </c>
      <c r="L2" s="3">
        <v>0.8</v>
      </c>
      <c r="M2" s="3">
        <v>2.75</v>
      </c>
      <c r="N2" s="3" t="b">
        <f>FALSE()</f>
        <v>0</v>
      </c>
      <c r="O2" s="3"/>
      <c r="P2" s="3">
        <v>36.799999999999997</v>
      </c>
      <c r="Q2" s="3">
        <v>3000</v>
      </c>
      <c r="R2" s="8" t="s">
        <v>125</v>
      </c>
      <c r="T2" s="3">
        <v>3</v>
      </c>
      <c r="U2" s="7"/>
      <c r="V2" s="7"/>
      <c r="W2" s="7"/>
      <c r="X2" s="7"/>
      <c r="Y2" s="7"/>
      <c r="Z2" s="7"/>
      <c r="AA2" s="7"/>
    </row>
    <row r="3" spans="1:27" ht="12.75" x14ac:dyDescent="0.2">
      <c r="A3" s="3">
        <v>110002</v>
      </c>
      <c r="B3" s="3" t="s">
        <v>65</v>
      </c>
      <c r="C3" s="4" t="s">
        <v>126</v>
      </c>
      <c r="D3" s="3" t="s">
        <v>34</v>
      </c>
      <c r="E3" s="3" t="s">
        <v>127</v>
      </c>
      <c r="F3" s="3">
        <v>5000</v>
      </c>
      <c r="G3" s="3">
        <v>1</v>
      </c>
      <c r="H3" s="3">
        <v>1375</v>
      </c>
      <c r="I3" s="3">
        <v>1.4</v>
      </c>
      <c r="J3" s="3"/>
      <c r="K3" s="3">
        <v>0.9</v>
      </c>
      <c r="L3" s="3">
        <v>1.2</v>
      </c>
      <c r="M3" s="3">
        <v>3</v>
      </c>
      <c r="N3" s="3" t="b">
        <f>FALSE()</f>
        <v>0</v>
      </c>
      <c r="O3" s="3"/>
      <c r="P3" s="3">
        <v>35</v>
      </c>
      <c r="Q3" s="3">
        <v>3150</v>
      </c>
      <c r="R3" s="7" t="s">
        <v>114</v>
      </c>
      <c r="T3" s="3">
        <v>3</v>
      </c>
      <c r="U3" s="7"/>
      <c r="V3" s="7"/>
      <c r="W3" s="7"/>
      <c r="X3" s="7"/>
      <c r="Y3" s="7"/>
      <c r="Z3" s="7"/>
      <c r="AA3" s="7"/>
    </row>
    <row r="4" spans="1:27" ht="12.75" x14ac:dyDescent="0.2">
      <c r="A4" s="3">
        <v>110003</v>
      </c>
      <c r="B4" s="3" t="s">
        <v>65</v>
      </c>
      <c r="C4" s="4" t="s">
        <v>128</v>
      </c>
      <c r="D4" s="3" t="s">
        <v>25</v>
      </c>
      <c r="E4" s="3" t="s">
        <v>129</v>
      </c>
      <c r="F4" s="3">
        <v>5125</v>
      </c>
      <c r="G4" s="3">
        <v>3</v>
      </c>
      <c r="H4" s="3">
        <v>494</v>
      </c>
      <c r="I4" s="3">
        <v>3.75</v>
      </c>
      <c r="J4" s="3">
        <v>0.5</v>
      </c>
      <c r="K4" s="3">
        <v>1.3</v>
      </c>
      <c r="L4" s="3">
        <v>1.5</v>
      </c>
      <c r="M4" s="3">
        <v>2.76</v>
      </c>
      <c r="N4" s="3" t="b">
        <f>TRUE()</f>
        <v>1</v>
      </c>
      <c r="O4" s="3" t="s">
        <v>48</v>
      </c>
      <c r="P4" s="3">
        <v>37.200000000000003</v>
      </c>
      <c r="Q4" s="3">
        <v>3450</v>
      </c>
      <c r="R4" s="8" t="s">
        <v>130</v>
      </c>
      <c r="T4" s="3">
        <v>3</v>
      </c>
      <c r="U4" s="7"/>
      <c r="V4" s="7"/>
      <c r="W4" s="7"/>
      <c r="X4" s="7"/>
      <c r="Y4" s="7"/>
      <c r="Z4" s="7"/>
      <c r="AA4" s="7"/>
    </row>
    <row r="5" spans="1:27" ht="12.75" x14ac:dyDescent="0.2">
      <c r="A5" s="3">
        <v>110004</v>
      </c>
      <c r="B5" s="3" t="s">
        <v>65</v>
      </c>
      <c r="C5" s="9" t="s">
        <v>131</v>
      </c>
      <c r="D5" s="3" t="s">
        <v>34</v>
      </c>
      <c r="E5" s="2" t="s">
        <v>132</v>
      </c>
      <c r="F5" s="3">
        <v>6000</v>
      </c>
      <c r="G5" s="3">
        <v>1</v>
      </c>
      <c r="H5" s="3">
        <v>1988</v>
      </c>
      <c r="I5" s="3">
        <v>1.4</v>
      </c>
      <c r="J5" s="3">
        <v>0.3</v>
      </c>
      <c r="K5" s="3">
        <v>0.9</v>
      </c>
      <c r="L5" s="3">
        <v>1.36</v>
      </c>
      <c r="M5" s="3">
        <v>5.67</v>
      </c>
      <c r="N5" s="3" t="b">
        <f>TRUE()</f>
        <v>1</v>
      </c>
      <c r="O5" s="3" t="s">
        <v>48</v>
      </c>
      <c r="P5" s="3">
        <v>422</v>
      </c>
      <c r="Q5" s="3">
        <v>3600</v>
      </c>
      <c r="R5" s="8" t="s">
        <v>133</v>
      </c>
      <c r="T5" s="3">
        <v>3</v>
      </c>
      <c r="U5" s="7"/>
      <c r="V5" s="7"/>
      <c r="W5" s="7"/>
      <c r="X5" s="7"/>
      <c r="Y5" s="7"/>
      <c r="Z5" s="7"/>
      <c r="AA5" s="7"/>
    </row>
    <row r="6" spans="1:27" ht="12.75" x14ac:dyDescent="0.2">
      <c r="A6" s="3">
        <v>110005</v>
      </c>
      <c r="B6" s="3" t="s">
        <v>65</v>
      </c>
      <c r="C6" s="4" t="s">
        <v>66</v>
      </c>
      <c r="D6" s="3" t="s">
        <v>54</v>
      </c>
      <c r="E6" s="3" t="s">
        <v>67</v>
      </c>
      <c r="F6" s="3">
        <v>2250</v>
      </c>
      <c r="G6" s="3">
        <v>3</v>
      </c>
      <c r="H6" s="3">
        <v>450</v>
      </c>
      <c r="I6" s="3">
        <v>3.5</v>
      </c>
      <c r="J6" s="3"/>
      <c r="K6" s="3">
        <v>1.2</v>
      </c>
      <c r="L6" s="3">
        <v>1</v>
      </c>
      <c r="M6" s="3">
        <v>2.2999999999999998</v>
      </c>
      <c r="N6" s="3" t="b">
        <f>FALSE()</f>
        <v>0</v>
      </c>
      <c r="O6" s="3"/>
      <c r="P6" s="3">
        <v>37.5</v>
      </c>
      <c r="Q6" s="3">
        <v>4200</v>
      </c>
      <c r="R6" s="8" t="s">
        <v>68</v>
      </c>
      <c r="S6">
        <v>360</v>
      </c>
      <c r="T6" s="3">
        <v>3</v>
      </c>
      <c r="U6" s="7"/>
      <c r="V6" s="7"/>
      <c r="W6" s="7"/>
      <c r="X6" s="7"/>
      <c r="Y6" s="7"/>
      <c r="Z6" s="7"/>
      <c r="AA6" s="7"/>
    </row>
    <row r="7" spans="1:27" ht="12.75" x14ac:dyDescent="0.2">
      <c r="A7" s="3">
        <v>110006</v>
      </c>
      <c r="B7" s="3" t="s">
        <v>65</v>
      </c>
      <c r="C7" s="4" t="s">
        <v>134</v>
      </c>
      <c r="D7" s="3" t="s">
        <v>34</v>
      </c>
      <c r="E7" s="3" t="s">
        <v>135</v>
      </c>
      <c r="F7" s="3">
        <v>4500</v>
      </c>
      <c r="G7" s="3">
        <v>1</v>
      </c>
      <c r="H7" s="3">
        <v>938</v>
      </c>
      <c r="I7" s="3">
        <v>1.4</v>
      </c>
      <c r="J7" s="3"/>
      <c r="K7" s="3">
        <v>1.2</v>
      </c>
      <c r="L7" s="3">
        <v>0.64</v>
      </c>
      <c r="M7" s="3">
        <v>2.41</v>
      </c>
      <c r="N7" s="3" t="b">
        <f>FALSE()</f>
        <v>0</v>
      </c>
      <c r="O7" s="3"/>
      <c r="P7" s="3">
        <v>32</v>
      </c>
      <c r="Q7" s="3">
        <v>3750</v>
      </c>
      <c r="R7" s="7" t="s">
        <v>114</v>
      </c>
      <c r="T7" s="3">
        <v>3</v>
      </c>
      <c r="U7" s="7"/>
      <c r="V7" s="7"/>
      <c r="W7" s="7"/>
      <c r="X7" s="7"/>
      <c r="Y7" s="7"/>
      <c r="Z7" s="7"/>
      <c r="AA7" s="7"/>
    </row>
    <row r="8" spans="1:27" ht="13.5" x14ac:dyDescent="0.25">
      <c r="A8" s="2">
        <v>110007</v>
      </c>
      <c r="B8" s="2" t="s">
        <v>65</v>
      </c>
      <c r="C8" s="16" t="s">
        <v>136</v>
      </c>
      <c r="D8" s="2" t="s">
        <v>34</v>
      </c>
      <c r="E8" s="2" t="s">
        <v>137</v>
      </c>
      <c r="F8" s="2">
        <v>5800</v>
      </c>
      <c r="G8" s="2">
        <v>1</v>
      </c>
      <c r="H8" s="2">
        <v>963</v>
      </c>
      <c r="I8" s="2">
        <v>1.9</v>
      </c>
      <c r="K8" s="2">
        <v>0.7</v>
      </c>
      <c r="L8" s="2">
        <v>0.84</v>
      </c>
      <c r="M8" s="2">
        <v>2.85</v>
      </c>
      <c r="N8" s="2" t="b">
        <f>FALSE()</f>
        <v>0</v>
      </c>
      <c r="P8" s="2">
        <v>45.2</v>
      </c>
      <c r="Q8" s="2">
        <v>3700</v>
      </c>
      <c r="R8" s="14" t="s">
        <v>138</v>
      </c>
      <c r="T8" s="3">
        <v>3</v>
      </c>
      <c r="U8" s="7"/>
      <c r="V8" s="7"/>
      <c r="W8" s="7"/>
      <c r="X8" s="7"/>
      <c r="Y8" s="7"/>
      <c r="Z8" s="7"/>
      <c r="AA8" s="7"/>
    </row>
    <row r="9" spans="1:27" ht="12.75" x14ac:dyDescent="0.2">
      <c r="A9" s="3">
        <v>115001</v>
      </c>
      <c r="B9" s="3" t="s">
        <v>65</v>
      </c>
      <c r="C9" s="4" t="s">
        <v>139</v>
      </c>
      <c r="D9" s="3" t="s">
        <v>25</v>
      </c>
      <c r="E9" s="3" t="s">
        <v>140</v>
      </c>
      <c r="F9" s="3">
        <v>2750</v>
      </c>
      <c r="G9" s="3">
        <v>4</v>
      </c>
      <c r="H9" s="3">
        <v>575</v>
      </c>
      <c r="I9" s="3">
        <v>1.5</v>
      </c>
      <c r="J9" s="3">
        <v>2</v>
      </c>
      <c r="K9" s="3">
        <v>2.2000000000000002</v>
      </c>
      <c r="L9" s="3">
        <v>0.4</v>
      </c>
      <c r="M9" s="3">
        <v>1.21</v>
      </c>
      <c r="N9" s="3" t="b">
        <f>TRUE()</f>
        <v>1</v>
      </c>
      <c r="O9" s="3" t="s">
        <v>27</v>
      </c>
      <c r="P9" s="3">
        <v>46.2</v>
      </c>
      <c r="Q9" s="3">
        <v>3900</v>
      </c>
      <c r="R9" s="7" t="s">
        <v>122</v>
      </c>
      <c r="T9" s="3">
        <v>3</v>
      </c>
      <c r="U9" s="7"/>
      <c r="V9" s="7"/>
      <c r="W9" s="7"/>
      <c r="X9" s="7"/>
      <c r="Y9" s="7"/>
      <c r="Z9" s="7"/>
      <c r="AA9" s="7"/>
    </row>
    <row r="10" spans="1:27" ht="12.75" x14ac:dyDescent="0.2">
      <c r="A10" s="3">
        <v>115002</v>
      </c>
      <c r="B10" s="3" t="s">
        <v>65</v>
      </c>
      <c r="C10" s="9" t="s">
        <v>69</v>
      </c>
      <c r="D10" s="3" t="s">
        <v>54</v>
      </c>
      <c r="E10" s="2" t="s">
        <v>70</v>
      </c>
      <c r="F10" s="3">
        <v>1750</v>
      </c>
      <c r="G10" s="3">
        <v>4</v>
      </c>
      <c r="H10" s="3">
        <v>619</v>
      </c>
      <c r="I10" s="3">
        <v>3.7</v>
      </c>
      <c r="J10" s="3">
        <v>0.3</v>
      </c>
      <c r="K10" s="3">
        <v>1.4</v>
      </c>
      <c r="L10" s="3">
        <v>1.02</v>
      </c>
      <c r="M10" s="3">
        <v>2.56</v>
      </c>
      <c r="N10" s="3" t="b">
        <f>TRUE()</f>
        <v>1</v>
      </c>
      <c r="O10" s="3" t="s">
        <v>48</v>
      </c>
      <c r="P10" s="3">
        <v>371</v>
      </c>
      <c r="Q10" s="3">
        <v>4050</v>
      </c>
      <c r="R10" s="8" t="s">
        <v>71</v>
      </c>
      <c r="S10">
        <v>496</v>
      </c>
      <c r="T10" s="3">
        <v>3</v>
      </c>
      <c r="U10" s="7"/>
      <c r="V10" s="7"/>
      <c r="W10" s="7"/>
      <c r="X10" s="7"/>
      <c r="Y10" s="7"/>
      <c r="Z10" s="7"/>
      <c r="AA10" s="7"/>
    </row>
    <row r="11" spans="1:27" ht="13.5" x14ac:dyDescent="0.25">
      <c r="A11" s="3">
        <v>115003</v>
      </c>
      <c r="B11" s="3" t="s">
        <v>65</v>
      </c>
      <c r="C11" s="13" t="s">
        <v>141</v>
      </c>
      <c r="D11" s="3" t="s">
        <v>25</v>
      </c>
      <c r="E11" s="2" t="s">
        <v>142</v>
      </c>
      <c r="F11" s="3">
        <v>5125</v>
      </c>
      <c r="G11" s="3">
        <v>3</v>
      </c>
      <c r="H11" s="3">
        <v>1375</v>
      </c>
      <c r="I11" s="3">
        <v>1.9</v>
      </c>
      <c r="J11" s="3"/>
      <c r="K11" s="3">
        <v>1.6</v>
      </c>
      <c r="L11" s="3">
        <v>1.8</v>
      </c>
      <c r="M11" s="3">
        <v>2.4900000000000002</v>
      </c>
      <c r="N11" s="3" t="b">
        <v>0</v>
      </c>
      <c r="O11" s="3"/>
      <c r="P11" s="3">
        <v>35.1</v>
      </c>
      <c r="Q11" s="3">
        <v>4425</v>
      </c>
      <c r="R11" s="8" t="s">
        <v>83</v>
      </c>
      <c r="T11" s="3">
        <v>3</v>
      </c>
      <c r="U11" s="7"/>
      <c r="V11" s="7"/>
      <c r="W11" s="7"/>
      <c r="X11" s="7"/>
      <c r="Y11" s="7"/>
      <c r="Z11" s="7"/>
      <c r="AA11" s="7"/>
    </row>
    <row r="12" spans="1:27" ht="12.75" x14ac:dyDescent="0.2">
      <c r="A12" s="3">
        <v>115004</v>
      </c>
      <c r="B12" s="3" t="s">
        <v>65</v>
      </c>
      <c r="C12" s="10" t="s">
        <v>143</v>
      </c>
      <c r="D12" s="3" t="s">
        <v>25</v>
      </c>
      <c r="E12" s="2" t="s">
        <v>144</v>
      </c>
      <c r="F12" s="3">
        <v>7220</v>
      </c>
      <c r="G12" s="3">
        <v>3</v>
      </c>
      <c r="H12" s="3">
        <v>2850</v>
      </c>
      <c r="I12" s="3">
        <v>5.9</v>
      </c>
      <c r="J12" s="3">
        <v>0.5</v>
      </c>
      <c r="K12" s="3">
        <v>0.7</v>
      </c>
      <c r="L12" s="3">
        <v>1.28</v>
      </c>
      <c r="M12" s="3">
        <v>4.03</v>
      </c>
      <c r="N12" s="3" t="b">
        <f>TRUE()</f>
        <v>1</v>
      </c>
      <c r="O12" s="3" t="s">
        <v>48</v>
      </c>
      <c r="P12" s="3">
        <v>551</v>
      </c>
      <c r="Q12" s="3">
        <v>4800</v>
      </c>
      <c r="R12" s="8" t="s">
        <v>145</v>
      </c>
      <c r="T12" s="3">
        <v>3</v>
      </c>
      <c r="U12" s="7"/>
      <c r="V12" s="7"/>
      <c r="W12" s="7"/>
      <c r="X12" s="7"/>
      <c r="Y12" s="7"/>
      <c r="Z12" s="7"/>
      <c r="AA12" s="7"/>
    </row>
    <row r="13" spans="1:27" ht="12.75" x14ac:dyDescent="0.2">
      <c r="A13" s="3">
        <v>115005</v>
      </c>
      <c r="B13" s="3" t="s">
        <v>65</v>
      </c>
      <c r="C13" s="10" t="s">
        <v>146</v>
      </c>
      <c r="D13" s="3" t="s">
        <v>25</v>
      </c>
      <c r="E13" s="2" t="s">
        <v>147</v>
      </c>
      <c r="F13" s="3">
        <v>7500</v>
      </c>
      <c r="G13" s="3">
        <v>3</v>
      </c>
      <c r="H13" s="3">
        <v>1894</v>
      </c>
      <c r="I13" s="3">
        <v>3.75</v>
      </c>
      <c r="J13" s="3">
        <v>0.5</v>
      </c>
      <c r="K13" s="3">
        <v>1.2</v>
      </c>
      <c r="L13" s="3">
        <v>0.8</v>
      </c>
      <c r="M13" s="3">
        <v>4.29</v>
      </c>
      <c r="N13" s="3" t="b">
        <f>TRUE()</f>
        <v>1</v>
      </c>
      <c r="O13" s="3" t="s">
        <v>48</v>
      </c>
      <c r="P13" s="3">
        <v>369.6</v>
      </c>
      <c r="Q13" s="3">
        <v>4920</v>
      </c>
      <c r="R13" s="8" t="s">
        <v>148</v>
      </c>
      <c r="S13" s="7"/>
      <c r="T13" s="3">
        <v>3</v>
      </c>
      <c r="U13" s="7"/>
      <c r="V13" s="7"/>
      <c r="W13" s="7"/>
      <c r="X13" s="7"/>
      <c r="Y13" s="7"/>
      <c r="Z13" s="7"/>
      <c r="AA13" s="7"/>
    </row>
    <row r="14" spans="1:27" ht="12.75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2.75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2.75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2.75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2.75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2.75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2.75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2.75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2.75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2.75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2.75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2.75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2.75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2.75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2.75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2.75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2.75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2.75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2.75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2.75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2.75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2.75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2.75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2.75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2.75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2.75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2.75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2.75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2.75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2.75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2.75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2.75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2.75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2.75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2.75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2.75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2.75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2.7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2.75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2.75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2.75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2.75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75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2.75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2.75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2.75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2.75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2.75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2.75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2.75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2.75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2.75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2.75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2.75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2.75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75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75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75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75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75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75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75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75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75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75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75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75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75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75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75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75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75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75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75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75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75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75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75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75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75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75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75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75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75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75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75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75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75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75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75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75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75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75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75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75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75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75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75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75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75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75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75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75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75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75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75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75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75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75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75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75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75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75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75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75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2.75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2.75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2.75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2.75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2.75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2.75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2.75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2.75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2.75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2.75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2.75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2.75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2.75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2.75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2.75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2.75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2.75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2.75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2.75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2.75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2.75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2.75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2.75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2.75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2.75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2.75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2.75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2.75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2.75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2.75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2.75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2.75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2.75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2.75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2.75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2.75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2.75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2.75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2.75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2.75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2.75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2.75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2.75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2.75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2.75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2.75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2.75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2.75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2.75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2.75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2.75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2.75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2.75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2.75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2.75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2.75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2.75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2.75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2.75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2.75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2.75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2.75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2.75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2.75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2.75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2.75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2.75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2.75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2.75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2.75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2.75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2.75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2.75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2.75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2.75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2.75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2.75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2.75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2.75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2.75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2.75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2.75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2.75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2.75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2.75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2.75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2.75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2.75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2.75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2.75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2.75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2.75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2.75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2.75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2.75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2.75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2.75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2.75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2.75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2.75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2.75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2.75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2.75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2.75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2.75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2.75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2.75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2.75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2.75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2.75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2.75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2.75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2.75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2.75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2.75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2.75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2.75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2.75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2.75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2.75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2.75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2.75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2.75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2.75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2.75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2.75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2.75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2.75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2.75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2.75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2.75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2.75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2.75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2.75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2.75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2.75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2.75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2.75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2.75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2.75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2.75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2.75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2.75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2.75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2.75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2.75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2.75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2.75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2.75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2.75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2.75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2.75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2.75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2.75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2.75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2.75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2.75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2.75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2.75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2.75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2.75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2.75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2.75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2.75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2.75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2.75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2.75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2.75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2.75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2.75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2.75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2.75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2.75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2.75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2.75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2.75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2.75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2.75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2.75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2.75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2.75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2.75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2.75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2.75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2.75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2.75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2.75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2.75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2.75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2.75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2.75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2.75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2.75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2.75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2.75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2.75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2.75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2.75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2.75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2.75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2.75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2.75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2.75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2.75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2.75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2.75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2.75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2.75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2.75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2.75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2.75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2.75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2.75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2.75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2.75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2.75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2.75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2.75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2.75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2.75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2.75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2.75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2.75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2.75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2.75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2.75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2.75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2.75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2.75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2.75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2.75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2.75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2.75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2.75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2.75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2.75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2.75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2.75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2.75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2.75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2.75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2.75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2.75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2.75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2.75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2.75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2.75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2.75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2.75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2.75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2.75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2.75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2.75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2.75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2.75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2.75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2.75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2.75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2.75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2.75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2.75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2.75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2.75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2.75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2.75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2.75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2.75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2.75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2.75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2.75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2.75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2.75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2.75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2.75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2.75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2.75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2.75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2.75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2.75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2.75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2.75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2.75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2.75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2.75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2.75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2.75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2.75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2.75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2.75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2.75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2.75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2.75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2.75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2.75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2.75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2.75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2.75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2.75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2.75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2.75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2.75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2.75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2.75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2.75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2.75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2.75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2.75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2.75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2.75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2.75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2.75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2.75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2.75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2.75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2.75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2.75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2.75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2.75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2.75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2.75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2.75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2.75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2.75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2.75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2.75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2.75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2.75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2.75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2.75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2.75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2.75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2.75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2.75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2.75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2.75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2.75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2.75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2.75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2.75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2.75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2.75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2.75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2.75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2.75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2.75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2.75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2.75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2.75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2.75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2.75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2.75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2.75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2.75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2.75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2.75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2.75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2.75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2.75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2.75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2.75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2.75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2.75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2.75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2.75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2.75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2.75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2.75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2.75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2.75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2.75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2.75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2.75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2.75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2.75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2.75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2.75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2.75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2.75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2.75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2.75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2.75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2.75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2.75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2.75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2.75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2.75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2.75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2.75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2.75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2.75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2.75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2.75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2.75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2.75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2.75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2.75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2.75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2.75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2.75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2.75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2.75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2.75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2.75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2.75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2.75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2.75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2.75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2.75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2.75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2.75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2.75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2.75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2.75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2.75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2.75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2.75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2.75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honeticPr fontId="12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A1000"/>
  <sheetViews>
    <sheetView topLeftCell="E1" zoomScale="130" zoomScaleNormal="130" workbookViewId="0">
      <selection activeCell="U1" sqref="U1"/>
    </sheetView>
  </sheetViews>
  <sheetFormatPr defaultColWidth="11.375" defaultRowHeight="15.75" customHeight="1" x14ac:dyDescent="0.2"/>
  <cols>
    <col min="18" max="18" width="18.875" customWidth="1"/>
    <col min="19" max="19" width="13.375" customWidth="1"/>
  </cols>
  <sheetData>
    <row r="1" spans="1:2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167</v>
      </c>
      <c r="T1" s="7" t="s">
        <v>168</v>
      </c>
      <c r="U1" s="7" t="s">
        <v>75</v>
      </c>
      <c r="V1" s="7"/>
      <c r="W1" s="7"/>
      <c r="X1" s="7"/>
      <c r="Y1" s="7"/>
      <c r="Z1" s="7"/>
      <c r="AA1" s="7"/>
    </row>
    <row r="2" spans="1:27" ht="12.75" x14ac:dyDescent="0.2">
      <c r="A2" s="3">
        <v>120001</v>
      </c>
      <c r="B2" s="3" t="s">
        <v>72</v>
      </c>
      <c r="C2" s="4" t="s">
        <v>149</v>
      </c>
      <c r="D2" s="3" t="s">
        <v>25</v>
      </c>
      <c r="E2" s="3" t="s">
        <v>150</v>
      </c>
      <c r="F2" s="3">
        <v>6250</v>
      </c>
      <c r="G2" s="3">
        <v>3</v>
      </c>
      <c r="H2" s="3">
        <v>3500</v>
      </c>
      <c r="I2" s="3">
        <v>6</v>
      </c>
      <c r="J2" s="3"/>
      <c r="K2" s="3">
        <v>1.2</v>
      </c>
      <c r="L2" s="3">
        <v>1</v>
      </c>
      <c r="M2" s="3">
        <v>3.2</v>
      </c>
      <c r="N2" s="3" t="b">
        <f>FALSE()</f>
        <v>0</v>
      </c>
      <c r="O2" s="7"/>
      <c r="P2" s="3">
        <v>74.8</v>
      </c>
      <c r="Q2" s="3">
        <v>5000</v>
      </c>
      <c r="R2" s="8" t="s">
        <v>151</v>
      </c>
      <c r="T2" s="7">
        <v>3</v>
      </c>
      <c r="U2" s="7"/>
      <c r="V2" s="7"/>
      <c r="W2" s="7"/>
      <c r="X2" s="7"/>
      <c r="Y2" s="7"/>
      <c r="Z2" s="7"/>
      <c r="AA2" s="7"/>
    </row>
    <row r="3" spans="1:27" ht="12.75" x14ac:dyDescent="0.2">
      <c r="A3" s="3">
        <v>120002</v>
      </c>
      <c r="B3" s="3" t="s">
        <v>72</v>
      </c>
      <c r="C3" s="4" t="s">
        <v>152</v>
      </c>
      <c r="D3" s="3" t="s">
        <v>34</v>
      </c>
      <c r="E3" s="3" t="s">
        <v>153</v>
      </c>
      <c r="F3" s="3">
        <v>10000</v>
      </c>
      <c r="G3" s="3">
        <v>1</v>
      </c>
      <c r="H3" s="3">
        <v>2888</v>
      </c>
      <c r="I3" s="3">
        <v>1.9</v>
      </c>
      <c r="J3" s="3"/>
      <c r="K3" s="3">
        <v>1.2</v>
      </c>
      <c r="L3" s="3">
        <v>1.4</v>
      </c>
      <c r="M3" s="3">
        <v>2.85</v>
      </c>
      <c r="N3" s="3" t="b">
        <f>FALSE()</f>
        <v>0</v>
      </c>
      <c r="O3" s="7"/>
      <c r="P3" s="3">
        <v>91</v>
      </c>
      <c r="Q3" s="3">
        <v>5400</v>
      </c>
      <c r="R3" s="8" t="s">
        <v>154</v>
      </c>
      <c r="T3" s="7">
        <v>3</v>
      </c>
      <c r="U3" s="7"/>
      <c r="V3" s="7"/>
      <c r="W3" s="7"/>
      <c r="X3" s="7"/>
      <c r="Y3" s="7"/>
      <c r="Z3" s="7"/>
      <c r="AA3" s="7"/>
    </row>
    <row r="4" spans="1:27" ht="15.75" customHeight="1" x14ac:dyDescent="0.2">
      <c r="A4" s="3">
        <v>120003</v>
      </c>
      <c r="B4" s="3" t="s">
        <v>72</v>
      </c>
      <c r="C4" s="10" t="s">
        <v>155</v>
      </c>
      <c r="D4" s="3" t="s">
        <v>25</v>
      </c>
      <c r="E4" s="2" t="s">
        <v>156</v>
      </c>
      <c r="F4" s="3">
        <v>9750</v>
      </c>
      <c r="G4" s="3">
        <v>2</v>
      </c>
      <c r="H4" s="3">
        <v>5250</v>
      </c>
      <c r="I4" s="3">
        <v>4.4000000000000004</v>
      </c>
      <c r="J4" s="3">
        <v>4</v>
      </c>
      <c r="K4" s="3">
        <v>1.2</v>
      </c>
      <c r="L4" s="3">
        <v>1.7</v>
      </c>
      <c r="M4" s="3">
        <v>4.3</v>
      </c>
      <c r="N4" s="3" t="b">
        <f>TRUE()</f>
        <v>1</v>
      </c>
      <c r="O4" s="7" t="s">
        <v>48</v>
      </c>
      <c r="P4" s="3">
        <v>483.6</v>
      </c>
      <c r="Q4" s="3">
        <v>5985</v>
      </c>
      <c r="R4" s="8" t="s">
        <v>157</v>
      </c>
      <c r="T4" s="7">
        <v>3</v>
      </c>
      <c r="U4" s="7"/>
      <c r="V4" s="7"/>
      <c r="W4" s="7"/>
      <c r="X4" s="7"/>
      <c r="Y4" s="7"/>
      <c r="Z4" s="7"/>
      <c r="AA4" s="7"/>
    </row>
    <row r="5" spans="1:27" ht="12.75" x14ac:dyDescent="0.2">
      <c r="A5" s="3">
        <v>125001</v>
      </c>
      <c r="B5" s="3" t="s">
        <v>72</v>
      </c>
      <c r="C5" s="10" t="s">
        <v>158</v>
      </c>
      <c r="D5" s="3" t="s">
        <v>34</v>
      </c>
      <c r="E5" s="2" t="s">
        <v>159</v>
      </c>
      <c r="F5" s="3">
        <v>11250</v>
      </c>
      <c r="G5" s="3">
        <v>1</v>
      </c>
      <c r="H5" s="3">
        <v>2250</v>
      </c>
      <c r="I5" s="3">
        <v>1.9</v>
      </c>
      <c r="J5" s="3">
        <v>0.3</v>
      </c>
      <c r="K5" s="3">
        <v>1</v>
      </c>
      <c r="L5" s="3">
        <v>1.7</v>
      </c>
      <c r="M5" s="3">
        <v>1.44</v>
      </c>
      <c r="N5" s="3" t="b">
        <f>TRUE()</f>
        <v>1</v>
      </c>
      <c r="O5" s="7" t="s">
        <v>48</v>
      </c>
      <c r="P5" s="3">
        <v>523.6</v>
      </c>
      <c r="Q5" s="3">
        <v>5150</v>
      </c>
      <c r="R5" s="8" t="s">
        <v>160</v>
      </c>
      <c r="T5" s="7">
        <v>3</v>
      </c>
      <c r="U5" s="7"/>
      <c r="V5" s="7"/>
      <c r="W5" s="7"/>
      <c r="X5" s="7"/>
      <c r="Y5" s="7"/>
      <c r="Z5" s="7"/>
      <c r="AA5" s="7"/>
    </row>
    <row r="6" spans="1:27" ht="12.75" x14ac:dyDescent="0.2">
      <c r="A6" s="3">
        <v>125002</v>
      </c>
      <c r="B6" s="3" t="s">
        <v>72</v>
      </c>
      <c r="C6" s="10" t="s">
        <v>73</v>
      </c>
      <c r="D6" s="3" t="s">
        <v>54</v>
      </c>
      <c r="E6" s="2" t="s">
        <v>74</v>
      </c>
      <c r="F6" s="3">
        <v>3050</v>
      </c>
      <c r="G6" s="3">
        <v>4</v>
      </c>
      <c r="H6" s="3">
        <v>1250</v>
      </c>
      <c r="I6" s="3">
        <v>3.5</v>
      </c>
      <c r="J6" s="3">
        <v>0.4</v>
      </c>
      <c r="K6" s="3">
        <v>1.5</v>
      </c>
      <c r="L6" s="3">
        <v>0.9</v>
      </c>
      <c r="M6" s="3">
        <v>3.3</v>
      </c>
      <c r="N6" s="3" t="b">
        <f>TRUE()</f>
        <v>1</v>
      </c>
      <c r="O6" s="7" t="s">
        <v>48</v>
      </c>
      <c r="P6" s="3">
        <v>491</v>
      </c>
      <c r="Q6" s="3">
        <v>5100</v>
      </c>
      <c r="R6" s="8" t="s">
        <v>71</v>
      </c>
      <c r="S6">
        <v>750</v>
      </c>
      <c r="T6" s="7">
        <v>3</v>
      </c>
      <c r="U6" s="7"/>
      <c r="V6" s="7"/>
      <c r="W6" s="7"/>
      <c r="X6" s="7"/>
      <c r="Y6" s="7"/>
      <c r="Z6" s="7"/>
      <c r="AA6" s="7"/>
    </row>
    <row r="7" spans="1:27" ht="12.75" x14ac:dyDescent="0.2">
      <c r="A7" s="3">
        <v>125003</v>
      </c>
      <c r="B7" s="3" t="s">
        <v>72</v>
      </c>
      <c r="C7" s="10" t="s">
        <v>161</v>
      </c>
      <c r="D7" s="3" t="s">
        <v>34</v>
      </c>
      <c r="E7" s="3" t="s">
        <v>162</v>
      </c>
      <c r="F7" s="3">
        <v>18750</v>
      </c>
      <c r="G7" s="3">
        <v>1</v>
      </c>
      <c r="H7" s="3">
        <v>2500</v>
      </c>
      <c r="I7" s="3">
        <v>1.9</v>
      </c>
      <c r="J7" s="3">
        <v>2.4</v>
      </c>
      <c r="K7" s="3">
        <v>1.3</v>
      </c>
      <c r="L7" s="3">
        <v>1.8</v>
      </c>
      <c r="M7" s="3">
        <v>3.6</v>
      </c>
      <c r="N7" s="3" t="b">
        <f>TRUE()</f>
        <v>1</v>
      </c>
      <c r="O7" s="7" t="s">
        <v>27</v>
      </c>
      <c r="P7" s="3">
        <v>473.6</v>
      </c>
      <c r="Q7" s="3">
        <v>6750</v>
      </c>
      <c r="R7" s="8" t="s">
        <v>165</v>
      </c>
      <c r="T7" s="7">
        <v>3</v>
      </c>
      <c r="U7" s="7"/>
      <c r="V7" s="7"/>
      <c r="W7" s="7"/>
      <c r="X7" s="7"/>
      <c r="Y7" s="7"/>
      <c r="Z7" s="7"/>
      <c r="AA7" s="7"/>
    </row>
    <row r="8" spans="1:27" ht="12.75" x14ac:dyDescent="0.2">
      <c r="A8" s="20">
        <v>125004</v>
      </c>
      <c r="B8" s="20" t="s">
        <v>72</v>
      </c>
      <c r="C8" s="18" t="s">
        <v>176</v>
      </c>
      <c r="D8" s="19" t="s">
        <v>179</v>
      </c>
      <c r="E8" s="20" t="s">
        <v>184</v>
      </c>
      <c r="F8" s="20">
        <v>9250</v>
      </c>
      <c r="G8" s="20">
        <v>2</v>
      </c>
      <c r="H8" s="20">
        <v>3850</v>
      </c>
      <c r="I8" s="20">
        <v>1.9</v>
      </c>
      <c r="J8" s="21"/>
      <c r="K8" s="20">
        <v>1.7</v>
      </c>
      <c r="L8" s="20">
        <v>0.9</v>
      </c>
      <c r="M8" s="20">
        <v>2.8</v>
      </c>
      <c r="N8" s="20" t="b">
        <v>0</v>
      </c>
      <c r="P8" s="20">
        <v>555.5</v>
      </c>
      <c r="Q8" s="20">
        <v>6200</v>
      </c>
      <c r="R8" s="7" t="s">
        <v>181</v>
      </c>
      <c r="S8" s="7"/>
      <c r="T8" s="7">
        <v>3</v>
      </c>
      <c r="U8" s="7"/>
      <c r="V8" s="7"/>
      <c r="W8" s="7"/>
      <c r="X8" s="7"/>
      <c r="Y8" s="7"/>
      <c r="Z8" s="7"/>
      <c r="AA8" s="7"/>
    </row>
    <row r="9" spans="1:27" ht="12.75" x14ac:dyDescent="0.2">
      <c r="A9" s="20">
        <v>125005</v>
      </c>
      <c r="B9" s="20" t="s">
        <v>72</v>
      </c>
      <c r="C9" s="18" t="s">
        <v>177</v>
      </c>
      <c r="D9" s="20" t="s">
        <v>179</v>
      </c>
      <c r="E9" s="20" t="s">
        <v>185</v>
      </c>
      <c r="F9" s="20">
        <v>7500</v>
      </c>
      <c r="G9" s="20">
        <v>3</v>
      </c>
      <c r="H9" s="20">
        <v>2975</v>
      </c>
      <c r="I9" s="20">
        <v>1.9</v>
      </c>
      <c r="J9" s="21">
        <v>2.4</v>
      </c>
      <c r="K9" s="20">
        <v>1.5</v>
      </c>
      <c r="L9" s="20">
        <v>0.9</v>
      </c>
      <c r="M9" s="20">
        <v>4.4000000000000004</v>
      </c>
      <c r="N9" s="20" t="b">
        <v>1</v>
      </c>
      <c r="O9" s="7" t="s">
        <v>180</v>
      </c>
      <c r="P9" s="20">
        <v>473.4</v>
      </c>
      <c r="Q9" s="20">
        <v>5750</v>
      </c>
      <c r="R9" s="7" t="s">
        <v>182</v>
      </c>
      <c r="S9" s="7"/>
      <c r="T9" s="7">
        <v>3</v>
      </c>
      <c r="U9" s="7"/>
      <c r="V9" s="7"/>
      <c r="W9" s="7"/>
      <c r="X9" s="7"/>
      <c r="Y9" s="7"/>
      <c r="Z9" s="7"/>
      <c r="AA9" s="7"/>
    </row>
    <row r="10" spans="1:27" ht="12.75" x14ac:dyDescent="0.2">
      <c r="A10" s="20">
        <v>125006</v>
      </c>
      <c r="B10" s="20" t="s">
        <v>72</v>
      </c>
      <c r="C10" s="18" t="s">
        <v>178</v>
      </c>
      <c r="D10" s="20" t="s">
        <v>179</v>
      </c>
      <c r="E10" s="20" t="s">
        <v>186</v>
      </c>
      <c r="F10" s="20">
        <v>8125</v>
      </c>
      <c r="G10" s="20">
        <v>3</v>
      </c>
      <c r="H10" s="20">
        <v>3660</v>
      </c>
      <c r="I10" s="20">
        <v>1.9</v>
      </c>
      <c r="J10" s="21"/>
      <c r="K10" s="20">
        <v>3.8</v>
      </c>
      <c r="L10" s="20">
        <v>0.9</v>
      </c>
      <c r="M10" s="20">
        <v>2.8</v>
      </c>
      <c r="N10" s="20" t="b">
        <v>0</v>
      </c>
      <c r="O10" s="7"/>
      <c r="P10" s="20">
        <v>548.1</v>
      </c>
      <c r="Q10" s="20">
        <v>5925</v>
      </c>
      <c r="R10" s="7" t="s">
        <v>183</v>
      </c>
      <c r="S10" s="7"/>
      <c r="T10" s="7">
        <v>3</v>
      </c>
      <c r="U10" s="7"/>
      <c r="V10" s="7"/>
      <c r="W10" s="7"/>
      <c r="X10" s="7"/>
      <c r="Y10" s="7"/>
      <c r="Z10" s="7"/>
      <c r="AA10" s="7"/>
    </row>
    <row r="11" spans="1:27" ht="12.75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2.75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2.75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2.75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2.75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2.75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2.75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2.75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2.75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2.75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2.75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2.75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2.75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2.75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2.75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2.75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2.75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2.75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2.75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2.75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2.75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2.75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2.75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2.75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2.75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2.75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2.75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2.75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2.75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2.75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2.75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2.75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2.75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2.75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2.75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2.75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2.75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2.75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2.75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2.75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2.7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2.75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2.75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2.75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2.75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75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2.75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2.75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2.75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2.75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2.75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2.75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2.75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2.75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2.75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2.75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2.75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2.75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75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75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75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75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75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75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75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75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75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75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75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75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75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75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75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75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75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75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75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75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75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75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75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75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75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75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75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75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75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75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75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75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75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75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75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75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75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75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75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75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75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75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75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75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75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75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75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75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75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75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75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75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75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75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75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75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75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75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75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75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2.75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2.75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2.75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2.75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2.75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2.75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2.75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2.75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2.75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2.75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2.75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2.75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2.75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2.75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2.75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2.75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2.75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2.75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2.75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2.75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2.75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2.75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2.75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2.75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2.75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2.75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2.75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2.75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2.75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2.75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2.75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2.75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2.75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2.75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2.75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2.75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2.75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2.75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2.75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2.75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2.75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2.75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2.75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2.75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2.75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2.75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2.75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2.75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2.75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2.75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2.75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2.75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2.75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2.75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2.75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2.75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2.75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2.75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2.75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2.75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2.75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2.75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2.75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2.75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2.75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2.75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2.75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2.75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2.75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2.75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2.75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2.75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2.75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2.75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2.75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2.75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2.75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2.75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2.75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2.75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2.75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2.75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2.75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2.75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2.75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2.75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2.75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2.75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2.75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2.75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2.75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2.75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2.75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2.75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2.75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2.75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2.75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2.75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2.75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2.75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2.75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2.75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2.75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2.75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2.75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2.75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2.75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2.75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2.75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2.75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2.75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2.75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2.75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2.75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2.75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2.75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2.75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2.75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2.75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2.75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2.75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2.75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2.75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2.75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2.75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2.75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2.75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2.75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2.75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2.75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2.75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2.75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2.75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2.75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2.75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2.75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2.75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2.75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2.75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2.75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2.75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2.75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2.75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2.75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2.75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2.75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2.75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2.75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2.75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2.75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2.75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2.75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2.75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2.75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2.75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2.75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2.75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2.75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2.75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2.75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2.75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2.75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2.75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2.75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2.75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2.75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2.75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2.75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2.75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2.75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2.75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2.75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2.75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2.75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2.75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2.75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2.75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2.75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2.75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2.75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2.75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2.75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2.75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2.75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2.75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2.75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2.75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2.75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2.75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2.75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2.75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2.75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2.75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2.75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2.75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2.75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2.75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2.75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2.75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2.75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2.75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2.75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2.75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2.75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2.75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2.75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2.75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2.75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2.75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2.75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2.75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2.75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2.75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2.75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2.75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2.75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2.75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2.75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2.75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2.75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2.75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2.75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2.75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2.75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2.75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2.75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2.75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2.75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2.75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2.75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2.75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2.75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2.75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2.75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2.75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2.75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2.75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2.75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2.75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2.75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2.75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2.75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2.75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2.75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2.75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2.75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2.75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2.75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2.75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2.75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2.75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2.75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2.75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2.75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2.75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2.75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2.75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2.75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2.75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2.75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2.75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2.75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2.75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2.75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2.75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2.75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2.75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2.75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2.75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2.75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2.75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2.75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2.75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2.75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2.75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2.75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2.75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2.75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2.75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2.75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2.75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2.75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2.75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2.75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2.75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2.75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2.75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2.75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2.75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2.75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2.75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2.75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2.75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2.75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2.75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2.75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2.75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2.75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2.75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2.75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2.75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2.75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2.75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2.75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2.75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2.75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2.75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2.75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2.75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2.75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2.75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2.75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2.75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2.75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2.75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2.75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2.75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2.75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2.75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2.75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2.75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2.75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2.75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2.75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2.75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2.75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2.75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2.75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2.75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2.75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2.75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2.75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2.75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2.75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2.75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2.75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2.75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2.75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2.75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2.75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2.75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2.75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2.75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2.75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2.75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2.75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2.75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2.75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2.75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2.75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2.75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2.75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2.75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2.75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2.75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2.75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2.75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2.75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2.75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2.75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2.75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2.75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2.75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2.75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2.75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2.75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2.75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2.75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2.75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2.75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2.75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2.75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2.75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2.75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2.75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2.75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2.75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2.75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2.75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2.75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2.75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2.75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2.75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2.75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2.75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2.75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2.75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2.75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2.75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2.75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2.75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2.75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2.75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2.75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2.75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2.75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2.75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2.75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2.75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2.75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2.75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2.75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2.75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2.75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2.75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2.75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2.75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2.75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2.75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2.75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2.75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2.75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2.75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2.75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2.75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2.75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2.75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honeticPr fontId="12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"/>
  <sheetViews>
    <sheetView zoomScale="115" zoomScaleNormal="115" workbookViewId="0">
      <selection activeCell="O9" sqref="O9"/>
    </sheetView>
  </sheetViews>
  <sheetFormatPr defaultColWidth="7.875" defaultRowHeight="12.75" customHeight="1" x14ac:dyDescent="0.2"/>
  <cols>
    <col min="1" max="1" width="13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12</v>
      </c>
      <c r="N1" s="1" t="s">
        <v>13</v>
      </c>
      <c r="O1" s="1" t="s">
        <v>14</v>
      </c>
      <c r="P1" s="11" t="s">
        <v>15</v>
      </c>
      <c r="Q1" s="2" t="s">
        <v>16</v>
      </c>
      <c r="R1" s="3" t="s">
        <v>17</v>
      </c>
      <c r="S1" s="12" t="s">
        <v>75</v>
      </c>
    </row>
    <row r="2" spans="1:19" ht="12.75" customHeight="1" x14ac:dyDescent="0.25">
      <c r="A2" s="2">
        <v>180001</v>
      </c>
      <c r="B2" s="2" t="s">
        <v>59</v>
      </c>
      <c r="C2" s="15" t="s">
        <v>163</v>
      </c>
      <c r="D2" s="2" t="s">
        <v>34</v>
      </c>
      <c r="E2" s="2" t="s">
        <v>164</v>
      </c>
      <c r="F2" s="2">
        <v>0</v>
      </c>
      <c r="G2" s="2">
        <v>1</v>
      </c>
      <c r="H2" s="2">
        <v>1000</v>
      </c>
      <c r="I2" s="2">
        <v>1.5</v>
      </c>
      <c r="K2" s="2">
        <v>1</v>
      </c>
      <c r="L2" s="2">
        <v>0.6</v>
      </c>
      <c r="M2" s="2">
        <v>2</v>
      </c>
      <c r="N2" s="2" t="b">
        <f>FALSE()</f>
        <v>0</v>
      </c>
      <c r="R2" s="7"/>
      <c r="S2" s="7"/>
    </row>
  </sheetData>
  <phoneticPr fontId="12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hero_unit</vt:lpstr>
      <vt:lpstr>hiller_unit</vt:lpstr>
      <vt:lpstr>allianceCommon</vt:lpstr>
      <vt:lpstr>allianceRare</vt:lpstr>
      <vt:lpstr>allianceEpic</vt:lpstr>
      <vt:lpstr>spawnedUnit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WON JIN LEE</cp:lastModifiedBy>
  <cp:revision>1</cp:revision>
  <dcterms:modified xsi:type="dcterms:W3CDTF">2025-12-29T20:33:31Z</dcterms:modified>
  <dc:language>ko-KR</dc:language>
</cp:coreProperties>
</file>