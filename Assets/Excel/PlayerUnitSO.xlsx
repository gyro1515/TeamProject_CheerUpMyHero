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UNITY\UNITY_PROJECT\TeamProject_CheerUpMyHero\Assets\Excel\"/>
    </mc:Choice>
  </mc:AlternateContent>
  <xr:revisionPtr revIDLastSave="0" documentId="13_ncr:1_{A1149063-C388-4D5A-BDE3-798AF8273C78}" xr6:coauthVersionLast="47" xr6:coauthVersionMax="47" xr10:uidLastSave="{00000000-0000-0000-0000-000000000000}"/>
  <bookViews>
    <workbookView xWindow="-120" yWindow="-120" windowWidth="38640" windowHeight="21240" tabRatio="500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2" l="1"/>
  <c r="N5" i="2"/>
  <c r="N4" i="2"/>
  <c r="N3" i="2"/>
  <c r="N2" i="2"/>
  <c r="N2" i="6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1"/>
  <c r="N5" i="1"/>
  <c r="N4" i="1"/>
  <c r="N3" i="1"/>
  <c r="N2" i="1"/>
</calcChain>
</file>

<file path=xl/sharedStrings.xml><?xml version="1.0" encoding="utf-8"?>
<sst xmlns="http://schemas.openxmlformats.org/spreadsheetml/2006/main" count="461" uniqueCount="187">
  <si>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</si>
  <si>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</si>
  <si>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</si>
  <si>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</si>
  <si>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</si>
  <si>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</si>
  <si>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</si>
  <si>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</si>
  <si>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</si>
  <si>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</si>
  <si>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</si>
  <si>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</si>
  <si>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</si>
  <si>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</si>
  <si>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</si>
  <si>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</si>
  <si>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</si>
  <si>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</si>
  <si>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</si>
  <si>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</si>
  <si>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</si>
  <si>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</si>
  <si>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</si>
  <si>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</si>
  <si>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</si>
  <si>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</si>
  <si>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</si>
  <si>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</si>
  <si>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</si>
  <si>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</si>
  <si>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</si>
  <si>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</si>
  <si>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</si>
  <si>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</si>
  <si>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</si>
  <si>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</si>
  <si>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</si>
  <si>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</si>
  <si>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</si>
  <si>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</si>
  <si>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</si>
  <si>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</si>
  <si>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</si>
  <si>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</si>
  <si>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</si>
  <si>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</si>
  <si>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</si>
  <si>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</si>
  <si>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</si>
  <si>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</si>
  <si>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</si>
  <si>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</si>
  <si>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</si>
  <si>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</si>
  <si>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</si>
  <si>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</si>
  <si>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</si>
  <si>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</si>
  <si>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</si>
  <si>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</si>
  <si>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</si>
  <si>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</si>
  <si>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</si>
  <si>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</si>
  <si>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</si>
  <si>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</si>
  <si>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</si>
  <si>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</si>
  <si>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</si>
  <si>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</si>
  <si>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</si>
  <si>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</si>
  <si>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</si>
  <si>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</si>
  <si>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</si>
  <si>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</si>
  <si>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</si>
  <si>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</si>
  <si>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</si>
  <si>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</si>
  <si>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</si>
  <si>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</si>
  <si>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</si>
  <si>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</si>
  <si>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</si>
  <si>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</si>
  <si>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</si>
  <si>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</si>
  <si>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</si>
  <si>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</si>
  <si>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</si>
  <si>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</si>
  <si>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</si>
  <si>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</si>
  <si>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</si>
  <si>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</si>
  <si>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</si>
  <si>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</si>
  <si>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</si>
  <si>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</si>
  <si>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</si>
  <si>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</si>
  <si>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</si>
  <si>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</si>
  <si>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</si>
  <si>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</si>
  <si>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</si>
  <si>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</si>
  <si>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</si>
  <si>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</si>
  <si>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</si>
  <si>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</si>
  <si>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</si>
  <si>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</si>
  <si>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</si>
  <si>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</si>
  <si>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</si>
  <si>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</si>
  <si>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</si>
  <si>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</si>
  <si>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</si>
  <si>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</si>
  <si>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</si>
  <si>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</si>
  <si>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</si>
  <si>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</si>
  <si>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</si>
  <si>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</si>
  <si>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</si>
  <si>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</si>
  <si>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</si>
  <si>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</si>
  <si>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</si>
  <si>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</si>
  <si>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</si>
  <si>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</si>
  <si>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</si>
  <si>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</si>
  <si>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</si>
  <si>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</si>
  <si>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</si>
  <si>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</si>
  <si>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</si>
  <si>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</si>
  <si>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</si>
  <si>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</si>
  <si>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</si>
  <si>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</si>
  <si>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</si>
  <si>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</si>
  <si>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</si>
  <si>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</si>
  <si>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</si>
  <si>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</si>
  <si>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</si>
  <si>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</si>
  <si>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</si>
  <si>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</si>
  <si>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</si>
  <si>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</si>
  <si>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</si>
  <si>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</si>
  <si>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</si>
  <si>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</si>
  <si>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</si>
  <si>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</si>
  <si>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</si>
  <si>
    <t>healAmount</t>
  </si>
  <si>
    <t>maxTargetCount</t>
  </si>
  <si>
    <t>heroTitle</t>
  </si>
  <si>
    <t>검 용사</t>
  </si>
  <si>
    <t>방패 용사</t>
  </si>
  <si>
    <t>궁수 용사</t>
  </si>
  <si>
    <t>마법사 용사</t>
  </si>
  <si>
    <t>사제 용사</t>
  </si>
  <si>
    <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  <phoneticPr fontId="12" type="noConversion"/>
  </si>
  <si>
    <t>셀레네</t>
  </si>
  <si>
    <t>다이아나</t>
  </si>
  <si>
    <t>칼렌시아</t>
  </si>
  <si>
    <t>Dealer</t>
    <phoneticPr fontId="12" type="noConversion"/>
  </si>
  <si>
    <t>PierceArea</t>
    <phoneticPr fontId="12" type="noConversion"/>
  </si>
  <si>
    <t>Hero/Poison</t>
    <phoneticPr fontId="12" type="noConversion"/>
  </si>
  <si>
    <t>Hero/Berserker</t>
    <phoneticPr fontId="12" type="noConversion"/>
  </si>
  <si>
    <t>Hero/Empire</t>
    <phoneticPr fontId="12" type="noConversion"/>
  </si>
  <si>
    <t>Allies_Unit39</t>
    <phoneticPr fontId="12" type="noConversion"/>
  </si>
  <si>
    <t>Allies_Unit40</t>
    <phoneticPr fontId="12" type="noConversion"/>
  </si>
  <si>
    <t>Allies_Unit41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</si>
</sst>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  <font>
      <sz val="10"/>
      <color rgb="FF000000"/>
      <name val="나눔고딕"/>
      <family val="3"/>
      <charset val="129"/>
    </font>
    <font>
      <sz val="10"/>
      <color rgb="FF000000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3" fillId="0" borderId="0" xfId="0" applyFont="1"/>
    <xf numFmtId="0" fontId="10" fillId="3" borderId="0" xfId="0" applyFont="1" applyFill="1" applyAlignment="1">
      <alignment horizontal="center" wrapText="1"/>
    </xf>
    <xf numFmtId="0" fontId="14" fillId="0" borderId="0" xfId="0" applyFont="1" applyAlignment="1">
      <alignment horizontal="center" wrapText="1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1000"/>
  <sheetViews>
    <sheetView tabSelected="1" topLeftCell="D1" zoomScale="85" zoomScaleNormal="85" workbookViewId="0">
      <selection activeCell="AA1" sqref="AA1"/>
    </sheetView>
  </sheetViews>
  <sheetFormatPr defaultColWidth="11.375" defaultRowHeight="15.75" customHeight="1" x14ac:dyDescent="0.2"/>
  <cols>
    <col min="21" max="21" width="38.75" customWidth="1"/>
    <col min="22" max="22" width="27.375" customWidth="1"/>
    <col min="23" max="23" width="36.75" customWidth="1"/>
    <col min="24" max="24" width="30.375" customWidth="1"/>
  </cols>
  <sheetData>
    <row r="1" spans="1:27" ht="13.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169</v>
      </c>
      <c r="T1" s="3" t="s">
        <v>18</v>
      </c>
      <c r="U1" s="3" t="s">
        <v>19</v>
      </c>
      <c r="V1" s="2" t="s">
        <v>20</v>
      </c>
      <c r="W1" s="3" t="s">
        <v>21</v>
      </c>
      <c r="X1" s="2" t="s">
        <v>22</v>
      </c>
      <c r="Y1" s="3" t="s">
        <v>167</v>
      </c>
      <c r="Z1" s="7" t="s">
        <v>168</v>
      </c>
      <c r="AA1" s="3" t="s">
        <v>75</v>
      </c>
    </row>
    <row r="2" spans="1:27" ht="13.5" thickBot="1" x14ac:dyDescent="0.25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17" t="s">
        <v>170</v>
      </c>
      <c r="T2" s="2" t="s">
        <v>28</v>
      </c>
      <c r="U2" s="5" t="s">
        <v>29</v>
      </c>
      <c r="V2" s="2" t="s">
        <v>30</v>
      </c>
      <c r="W2" s="5" t="s">
        <v>31</v>
      </c>
      <c r="X2" s="2" t="s">
        <v>32</v>
      </c>
      <c r="Y2" s="3"/>
      <c r="Z2" s="3">
        <v>7</v>
      </c>
      <c r="AA2" s="3"/>
    </row>
    <row r="3" spans="1:27" ht="13.5" thickBot="1" x14ac:dyDescent="0.25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17" t="s">
        <v>171</v>
      </c>
      <c r="T3" s="3" t="s">
        <v>28</v>
      </c>
      <c r="U3" s="5" t="s">
        <v>36</v>
      </c>
      <c r="V3" s="2" t="s">
        <v>37</v>
      </c>
      <c r="W3" s="5" t="s">
        <v>38</v>
      </c>
      <c r="X3" s="2" t="s">
        <v>39</v>
      </c>
      <c r="Y3" s="3"/>
      <c r="Z3" s="3">
        <v>7</v>
      </c>
      <c r="AA3" s="3"/>
    </row>
    <row r="4" spans="1:27" ht="13.5" thickBot="1" x14ac:dyDescent="0.25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17" t="s">
        <v>172</v>
      </c>
      <c r="T4" s="3" t="s">
        <v>28</v>
      </c>
      <c r="U4" s="5" t="s">
        <v>42</v>
      </c>
      <c r="V4" s="2" t="s">
        <v>43</v>
      </c>
      <c r="W4" s="5" t="s">
        <v>44</v>
      </c>
      <c r="X4" s="2" t="s">
        <v>45</v>
      </c>
      <c r="Y4" s="3"/>
      <c r="Z4" s="3">
        <v>7</v>
      </c>
      <c r="AA4" s="3"/>
    </row>
    <row r="5" spans="1:27" ht="14.25" thickBot="1" x14ac:dyDescent="0.3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166</v>
      </c>
      <c r="P5" s="3"/>
      <c r="Q5" s="3"/>
      <c r="R5" s="3"/>
      <c r="S5" s="17" t="s">
        <v>173</v>
      </c>
      <c r="T5" s="3" t="s">
        <v>28</v>
      </c>
      <c r="U5" s="6" t="s">
        <v>49</v>
      </c>
      <c r="V5" s="2" t="s">
        <v>50</v>
      </c>
      <c r="W5" s="5" t="s">
        <v>51</v>
      </c>
      <c r="X5" s="2" t="s">
        <v>52</v>
      </c>
      <c r="Y5" s="3"/>
      <c r="Z5" s="3">
        <v>7</v>
      </c>
      <c r="AA5" s="3"/>
    </row>
    <row r="6" spans="1:27" ht="13.5" thickBot="1" x14ac:dyDescent="0.25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3375</v>
      </c>
      <c r="I6" s="3">
        <v>6</v>
      </c>
      <c r="J6" s="3">
        <v>5</v>
      </c>
      <c r="K6" s="3">
        <v>3.6</v>
      </c>
      <c r="L6" s="3">
        <v>1</v>
      </c>
      <c r="M6" s="3">
        <v>1.9</v>
      </c>
      <c r="N6" s="3" t="b">
        <f>TRUE()</f>
        <v>1</v>
      </c>
      <c r="O6" s="2" t="s">
        <v>48</v>
      </c>
      <c r="P6" s="3"/>
      <c r="Q6" s="3"/>
      <c r="R6" s="3"/>
      <c r="S6" s="17" t="s">
        <v>174</v>
      </c>
      <c r="T6" s="3" t="s">
        <v>28</v>
      </c>
      <c r="U6" s="5" t="s">
        <v>175</v>
      </c>
      <c r="V6" s="2" t="s">
        <v>56</v>
      </c>
      <c r="W6" s="5" t="s">
        <v>57</v>
      </c>
      <c r="X6" s="2" t="s">
        <v>58</v>
      </c>
      <c r="Y6" s="3">
        <v>1125</v>
      </c>
      <c r="Z6" s="3">
        <v>7</v>
      </c>
      <c r="AA6" s="3"/>
    </row>
    <row r="7" spans="1:27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</row>
    <row r="12" spans="1:27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130" zoomScaleNormal="130" workbookViewId="0">
      <selection activeCell="S3" sqref="S3"/>
    </sheetView>
  </sheetViews>
  <sheetFormatPr defaultColWidth="11.37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t="s">
        <v>75</v>
      </c>
    </row>
    <row r="2" spans="1:19" ht="12.75" x14ac:dyDescent="0.2">
      <c r="A2" s="3">
        <v>100009</v>
      </c>
      <c r="B2" s="3" t="s">
        <v>59</v>
      </c>
      <c r="C2" s="4" t="s">
        <v>60</v>
      </c>
      <c r="D2" s="3" t="s">
        <v>54</v>
      </c>
      <c r="E2" s="2" t="s">
        <v>97</v>
      </c>
      <c r="F2" s="3">
        <v>1000</v>
      </c>
      <c r="G2" s="3">
        <v>3</v>
      </c>
      <c r="H2" s="3">
        <v>125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62</v>
      </c>
      <c r="S2" s="7"/>
    </row>
    <row r="3" spans="1:19" ht="12.75" x14ac:dyDescent="0.2">
      <c r="A3" s="3">
        <v>105007</v>
      </c>
      <c r="B3" s="3" t="s">
        <v>59</v>
      </c>
      <c r="C3" s="4" t="s">
        <v>63</v>
      </c>
      <c r="D3" s="3" t="s">
        <v>54</v>
      </c>
      <c r="E3" s="3" t="s">
        <v>64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62</v>
      </c>
      <c r="S3" s="7"/>
    </row>
    <row r="4" spans="1:19" ht="15.75" customHeight="1" x14ac:dyDescent="0.2">
      <c r="A4" s="3">
        <v>110005</v>
      </c>
      <c r="B4" s="3" t="s">
        <v>65</v>
      </c>
      <c r="C4" s="4" t="s">
        <v>66</v>
      </c>
      <c r="D4" s="3" t="s">
        <v>54</v>
      </c>
      <c r="E4" s="3" t="s">
        <v>67</v>
      </c>
      <c r="F4" s="3">
        <v>2250</v>
      </c>
      <c r="G4" s="3">
        <v>3</v>
      </c>
      <c r="H4" s="3">
        <v>450</v>
      </c>
      <c r="I4" s="3">
        <v>3.5</v>
      </c>
      <c r="J4" s="3"/>
      <c r="K4" s="3">
        <v>1.2</v>
      </c>
      <c r="L4" s="3">
        <v>1</v>
      </c>
      <c r="M4" s="3">
        <v>2.2999999999999998</v>
      </c>
      <c r="N4" s="3" t="b">
        <f>FALSE()</f>
        <v>0</v>
      </c>
      <c r="O4" s="3"/>
      <c r="P4" s="3">
        <v>37.5</v>
      </c>
      <c r="Q4" s="3">
        <v>4200</v>
      </c>
      <c r="R4" s="8" t="s">
        <v>68</v>
      </c>
    </row>
    <row r="5" spans="1:19" ht="12.75" x14ac:dyDescent="0.2">
      <c r="A5" s="3">
        <v>115002</v>
      </c>
      <c r="B5" s="3" t="s">
        <v>65</v>
      </c>
      <c r="C5" s="9" t="s">
        <v>69</v>
      </c>
      <c r="D5" s="3" t="s">
        <v>54</v>
      </c>
      <c r="E5" s="2" t="s">
        <v>70</v>
      </c>
      <c r="F5" s="3">
        <v>1750</v>
      </c>
      <c r="G5" s="3">
        <v>4</v>
      </c>
      <c r="H5" s="3">
        <v>619</v>
      </c>
      <c r="I5" s="3">
        <v>3.7</v>
      </c>
      <c r="J5" s="3">
        <v>0.3</v>
      </c>
      <c r="K5" s="3">
        <v>1.4</v>
      </c>
      <c r="L5" s="3">
        <v>1.02</v>
      </c>
      <c r="M5" s="3">
        <v>2.56</v>
      </c>
      <c r="N5" s="3" t="b">
        <f>TRUE()</f>
        <v>1</v>
      </c>
      <c r="O5" s="3" t="s">
        <v>48</v>
      </c>
      <c r="P5" s="3">
        <v>371</v>
      </c>
      <c r="Q5" s="3">
        <v>4050</v>
      </c>
      <c r="R5" s="8" t="s">
        <v>71</v>
      </c>
    </row>
    <row r="6" spans="1:19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3" t="s">
        <v>48</v>
      </c>
      <c r="P6" s="3">
        <v>491</v>
      </c>
      <c r="Q6" s="3">
        <v>5100</v>
      </c>
      <c r="R6" s="8" t="s">
        <v>71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topLeftCell="G1" zoomScale="115" zoomScaleNormal="115" workbookViewId="0">
      <selection activeCell="V1" sqref="V1"/>
    </sheetView>
  </sheetViews>
  <sheetFormatPr defaultColWidth="11.375" defaultRowHeight="15.75" customHeight="1" x14ac:dyDescent="0.2"/>
  <cols>
    <col min="18" max="18" width="16.75" customWidth="1"/>
    <col min="19" max="19" width="16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  <c r="T1" s="3" t="s">
        <v>167</v>
      </c>
      <c r="U1" s="7" t="s">
        <v>168</v>
      </c>
      <c r="V1" s="7" t="s">
        <v>75</v>
      </c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59</v>
      </c>
      <c r="C2" s="4" t="s">
        <v>76</v>
      </c>
      <c r="D2" s="3" t="s">
        <v>25</v>
      </c>
      <c r="E2" s="3" t="s">
        <v>77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78</v>
      </c>
      <c r="S2" s="7" t="s">
        <v>78</v>
      </c>
      <c r="T2" s="3"/>
      <c r="U2" s="7">
        <v>3</v>
      </c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59</v>
      </c>
      <c r="C3" s="4" t="s">
        <v>79</v>
      </c>
      <c r="D3" s="3" t="s">
        <v>34</v>
      </c>
      <c r="E3" s="3" t="s">
        <v>80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78</v>
      </c>
      <c r="S3" s="7" t="s">
        <v>78</v>
      </c>
      <c r="T3" s="3"/>
      <c r="U3" s="7">
        <v>3</v>
      </c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59</v>
      </c>
      <c r="C4" s="4" t="s">
        <v>81</v>
      </c>
      <c r="D4" s="3" t="s">
        <v>25</v>
      </c>
      <c r="E4" s="3" t="s">
        <v>82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83</v>
      </c>
      <c r="S4" s="8" t="s">
        <v>83</v>
      </c>
      <c r="T4" s="3"/>
      <c r="U4" s="7">
        <v>3</v>
      </c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59</v>
      </c>
      <c r="C5" s="13" t="s">
        <v>84</v>
      </c>
      <c r="D5" s="3" t="s">
        <v>25</v>
      </c>
      <c r="E5" s="3" t="s">
        <v>85</v>
      </c>
      <c r="F5" s="3">
        <v>1000</v>
      </c>
      <c r="G5" s="3">
        <v>3</v>
      </c>
      <c r="H5" s="3">
        <v>250</v>
      </c>
      <c r="I5" s="3">
        <v>5.5</v>
      </c>
      <c r="J5" s="7"/>
      <c r="K5" s="3">
        <v>1</v>
      </c>
      <c r="L5" s="3">
        <v>0.8</v>
      </c>
      <c r="M5" s="3">
        <v>2.85</v>
      </c>
      <c r="N5" s="3" t="b">
        <f>FALSE()</f>
        <v>0</v>
      </c>
      <c r="O5" s="7"/>
      <c r="P5" s="3">
        <v>6.6</v>
      </c>
      <c r="Q5" s="3">
        <v>450</v>
      </c>
      <c r="R5" s="8" t="s">
        <v>86</v>
      </c>
      <c r="S5" s="8" t="s">
        <v>86</v>
      </c>
      <c r="T5" s="3"/>
      <c r="U5" s="7">
        <v>3</v>
      </c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59</v>
      </c>
      <c r="C6" s="4" t="s">
        <v>87</v>
      </c>
      <c r="D6" s="3" t="s">
        <v>25</v>
      </c>
      <c r="E6" s="3" t="s">
        <v>88</v>
      </c>
      <c r="F6" s="3">
        <v>1550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3.75</v>
      </c>
      <c r="N6" s="3" t="b">
        <f>FALSE()</f>
        <v>0</v>
      </c>
      <c r="O6" s="7"/>
      <c r="P6" s="3">
        <v>6</v>
      </c>
      <c r="Q6" s="3">
        <v>800</v>
      </c>
      <c r="R6" s="7" t="s">
        <v>78</v>
      </c>
      <c r="S6" s="7" t="s">
        <v>78</v>
      </c>
      <c r="T6" s="3"/>
      <c r="U6" s="7">
        <v>3</v>
      </c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59</v>
      </c>
      <c r="C7" s="4" t="s">
        <v>89</v>
      </c>
      <c r="D7" s="3" t="s">
        <v>25</v>
      </c>
      <c r="E7" s="3" t="s">
        <v>90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91</v>
      </c>
      <c r="S7" s="8" t="s">
        <v>91</v>
      </c>
      <c r="T7" s="3"/>
      <c r="U7" s="7">
        <v>3</v>
      </c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59</v>
      </c>
      <c r="C8" s="4" t="s">
        <v>92</v>
      </c>
      <c r="D8" s="3" t="s">
        <v>34</v>
      </c>
      <c r="E8" s="3" t="s">
        <v>93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78</v>
      </c>
      <c r="S8" s="7" t="s">
        <v>78</v>
      </c>
      <c r="T8" s="3"/>
      <c r="U8" s="7">
        <v>3</v>
      </c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59</v>
      </c>
      <c r="C9" s="4" t="s">
        <v>94</v>
      </c>
      <c r="D9" s="3" t="s">
        <v>25</v>
      </c>
      <c r="E9" s="3" t="s">
        <v>95</v>
      </c>
      <c r="F9" s="3">
        <v>1200</v>
      </c>
      <c r="G9" s="3">
        <v>3</v>
      </c>
      <c r="H9" s="3">
        <v>875</v>
      </c>
      <c r="I9" s="3">
        <v>5.5</v>
      </c>
      <c r="J9" s="7"/>
      <c r="K9" s="3">
        <v>1</v>
      </c>
      <c r="L9" s="3">
        <v>1</v>
      </c>
      <c r="M9" s="3">
        <v>3.75</v>
      </c>
      <c r="N9" s="3" t="b">
        <f>FALSE()</f>
        <v>0</v>
      </c>
      <c r="O9" s="7"/>
      <c r="P9" s="3">
        <v>30.6</v>
      </c>
      <c r="Q9" s="3">
        <v>1500</v>
      </c>
      <c r="R9" s="8" t="s">
        <v>96</v>
      </c>
      <c r="S9" s="8" t="s">
        <v>96</v>
      </c>
      <c r="T9" s="3"/>
      <c r="U9" s="7">
        <v>3</v>
      </c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59</v>
      </c>
      <c r="C10" s="4" t="s">
        <v>60</v>
      </c>
      <c r="D10" s="3" t="s">
        <v>54</v>
      </c>
      <c r="E10" s="2" t="s">
        <v>97</v>
      </c>
      <c r="F10" s="3">
        <v>1000</v>
      </c>
      <c r="G10" s="3">
        <v>3</v>
      </c>
      <c r="H10" s="3">
        <v>125</v>
      </c>
      <c r="I10" s="3">
        <v>3</v>
      </c>
      <c r="J10" s="3">
        <v>1</v>
      </c>
      <c r="K10" s="3">
        <v>1</v>
      </c>
      <c r="L10" s="3">
        <v>0.7</v>
      </c>
      <c r="M10" s="3">
        <v>4.0999999999999996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62</v>
      </c>
      <c r="S10" s="7" t="s">
        <v>62</v>
      </c>
      <c r="T10" s="3">
        <v>125</v>
      </c>
      <c r="U10" s="7">
        <v>5</v>
      </c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59</v>
      </c>
      <c r="C11" s="4" t="s">
        <v>98</v>
      </c>
      <c r="D11" s="3" t="s">
        <v>25</v>
      </c>
      <c r="E11" s="3" t="s">
        <v>99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0.8</v>
      </c>
      <c r="M11" s="3">
        <v>4.2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78</v>
      </c>
      <c r="S11" s="7" t="s">
        <v>78</v>
      </c>
      <c r="T11" s="3"/>
      <c r="U11" s="7">
        <v>3</v>
      </c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59</v>
      </c>
      <c r="C12" s="13" t="s">
        <v>100</v>
      </c>
      <c r="D12" s="3" t="s">
        <v>34</v>
      </c>
      <c r="E12" s="2" t="s">
        <v>61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78</v>
      </c>
      <c r="S12" s="7" t="s">
        <v>78</v>
      </c>
      <c r="T12" s="3"/>
      <c r="U12" s="7">
        <v>3</v>
      </c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59</v>
      </c>
      <c r="C13" s="10" t="s">
        <v>101</v>
      </c>
      <c r="D13" s="3" t="s">
        <v>25</v>
      </c>
      <c r="E13" s="2" t="s">
        <v>102</v>
      </c>
      <c r="F13" s="3">
        <v>2250</v>
      </c>
      <c r="G13" s="3">
        <v>1</v>
      </c>
      <c r="H13" s="3">
        <v>1375</v>
      </c>
      <c r="I13" s="3">
        <v>6</v>
      </c>
      <c r="J13" s="3">
        <v>3.5</v>
      </c>
      <c r="K13" s="3">
        <v>0.9</v>
      </c>
      <c r="L13" s="3">
        <v>1.1000000000000001</v>
      </c>
      <c r="M13" s="3">
        <v>4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103</v>
      </c>
      <c r="S13" s="8" t="s">
        <v>103</v>
      </c>
      <c r="T13" s="3"/>
      <c r="U13" s="7">
        <v>3</v>
      </c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59</v>
      </c>
      <c r="C14" s="13" t="s">
        <v>104</v>
      </c>
      <c r="D14" s="3" t="s">
        <v>25</v>
      </c>
      <c r="E14" s="3" t="s">
        <v>105</v>
      </c>
      <c r="F14" s="3">
        <v>1250</v>
      </c>
      <c r="G14" s="3">
        <v>5</v>
      </c>
      <c r="H14" s="3">
        <v>44</v>
      </c>
      <c r="I14" s="3">
        <v>5.4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106</v>
      </c>
      <c r="S14" s="14" t="s">
        <v>106</v>
      </c>
      <c r="T14" s="3"/>
      <c r="U14" s="7">
        <v>3</v>
      </c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59</v>
      </c>
      <c r="C15" s="4" t="s">
        <v>107</v>
      </c>
      <c r="D15" s="3" t="s">
        <v>34</v>
      </c>
      <c r="E15" s="3" t="s">
        <v>108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109</v>
      </c>
      <c r="S15" s="7" t="s">
        <v>109</v>
      </c>
      <c r="T15" s="3"/>
      <c r="U15" s="7">
        <v>3</v>
      </c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59</v>
      </c>
      <c r="C16" s="13" t="s">
        <v>110</v>
      </c>
      <c r="D16" s="3" t="s">
        <v>34</v>
      </c>
      <c r="E16" s="3" t="s">
        <v>111</v>
      </c>
      <c r="F16" s="3">
        <v>2250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1.65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109</v>
      </c>
      <c r="S16" s="7" t="s">
        <v>109</v>
      </c>
      <c r="T16" s="3"/>
      <c r="U16" s="7">
        <v>3</v>
      </c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59</v>
      </c>
      <c r="C17" s="4" t="s">
        <v>112</v>
      </c>
      <c r="D17" s="3" t="s">
        <v>25</v>
      </c>
      <c r="E17" s="3" t="s">
        <v>113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0.9</v>
      </c>
      <c r="M17" s="3">
        <v>4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114</v>
      </c>
      <c r="S17" s="7" t="s">
        <v>114</v>
      </c>
      <c r="T17" s="3"/>
      <c r="U17" s="7">
        <v>3</v>
      </c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59</v>
      </c>
      <c r="C18" s="4" t="s">
        <v>63</v>
      </c>
      <c r="D18" s="3" t="s">
        <v>54</v>
      </c>
      <c r="E18" s="3" t="s">
        <v>64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4.3</v>
      </c>
      <c r="N18" s="3" t="b">
        <f>FALSE()</f>
        <v>0</v>
      </c>
      <c r="O18" s="7"/>
      <c r="P18" s="3">
        <v>6.6</v>
      </c>
      <c r="Q18" s="3">
        <v>525</v>
      </c>
      <c r="R18" s="7" t="s">
        <v>62</v>
      </c>
      <c r="S18" s="7" t="s">
        <v>62</v>
      </c>
      <c r="T18" s="3">
        <v>245</v>
      </c>
      <c r="U18" s="7">
        <v>5</v>
      </c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59</v>
      </c>
      <c r="C19" s="13" t="s">
        <v>115</v>
      </c>
      <c r="D19" s="3" t="s">
        <v>25</v>
      </c>
      <c r="E19" s="3" t="s">
        <v>116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3.85</v>
      </c>
      <c r="N19" s="3" t="b">
        <f>FALSE()</f>
        <v>0</v>
      </c>
      <c r="O19" s="7"/>
      <c r="P19" s="3">
        <v>17.3</v>
      </c>
      <c r="Q19" s="3">
        <v>1490</v>
      </c>
      <c r="R19" s="7" t="s">
        <v>109</v>
      </c>
      <c r="S19" s="7" t="s">
        <v>109</v>
      </c>
      <c r="T19" s="3"/>
      <c r="U19" s="7">
        <v>3</v>
      </c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59</v>
      </c>
      <c r="C20" s="4" t="s">
        <v>117</v>
      </c>
      <c r="D20" s="3" t="s">
        <v>25</v>
      </c>
      <c r="E20" s="3" t="s">
        <v>118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119</v>
      </c>
      <c r="S20" s="8" t="s">
        <v>119</v>
      </c>
      <c r="T20" s="3"/>
      <c r="U20" s="7">
        <v>3</v>
      </c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59</v>
      </c>
      <c r="C21" s="4" t="s">
        <v>120</v>
      </c>
      <c r="D21" s="3" t="s">
        <v>25</v>
      </c>
      <c r="E21" s="3" t="s">
        <v>121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122</v>
      </c>
      <c r="S21" s="7" t="s">
        <v>122</v>
      </c>
      <c r="T21" s="3"/>
      <c r="U21" s="7">
        <v>3</v>
      </c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topLeftCell="K1" zoomScale="130" zoomScaleNormal="130" workbookViewId="0">
      <selection activeCell="U1" sqref="U1"/>
    </sheetView>
  </sheetViews>
  <sheetFormatPr defaultColWidth="11.37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 t="s">
        <v>75</v>
      </c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65</v>
      </c>
      <c r="C2" s="4" t="s">
        <v>123</v>
      </c>
      <c r="D2" s="3" t="s">
        <v>25</v>
      </c>
      <c r="E2" s="2" t="s">
        <v>124</v>
      </c>
      <c r="F2" s="3">
        <v>2750</v>
      </c>
      <c r="G2" s="3">
        <v>4</v>
      </c>
      <c r="H2" s="3">
        <v>657</v>
      </c>
      <c r="I2" s="3">
        <v>5.8</v>
      </c>
      <c r="J2" s="3"/>
      <c r="K2" s="3">
        <v>0.8</v>
      </c>
      <c r="L2" s="3">
        <v>0.8</v>
      </c>
      <c r="M2" s="3">
        <v>2.75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125</v>
      </c>
      <c r="T2" s="3">
        <v>3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65</v>
      </c>
      <c r="C3" s="4" t="s">
        <v>126</v>
      </c>
      <c r="D3" s="3" t="s">
        <v>34</v>
      </c>
      <c r="E3" s="3" t="s">
        <v>127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114</v>
      </c>
      <c r="T3" s="3">
        <v>3</v>
      </c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65</v>
      </c>
      <c r="C4" s="4" t="s">
        <v>128</v>
      </c>
      <c r="D4" s="3" t="s">
        <v>25</v>
      </c>
      <c r="E4" s="3" t="s">
        <v>129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1.5</v>
      </c>
      <c r="M4" s="3">
        <v>2.76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130</v>
      </c>
      <c r="T4" s="3">
        <v>3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65</v>
      </c>
      <c r="C5" s="9" t="s">
        <v>131</v>
      </c>
      <c r="D5" s="3" t="s">
        <v>34</v>
      </c>
      <c r="E5" s="2" t="s">
        <v>132</v>
      </c>
      <c r="F5" s="3">
        <v>6000</v>
      </c>
      <c r="G5" s="3">
        <v>1</v>
      </c>
      <c r="H5" s="3">
        <v>1988</v>
      </c>
      <c r="I5" s="3">
        <v>1.4</v>
      </c>
      <c r="J5" s="3">
        <v>0.3</v>
      </c>
      <c r="K5" s="3">
        <v>0.9</v>
      </c>
      <c r="L5" s="3">
        <v>1.36</v>
      </c>
      <c r="M5" s="3">
        <v>5.67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133</v>
      </c>
      <c r="T5" s="3">
        <v>3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65</v>
      </c>
      <c r="C6" s="4" t="s">
        <v>66</v>
      </c>
      <c r="D6" s="3" t="s">
        <v>54</v>
      </c>
      <c r="E6" s="3" t="s">
        <v>67</v>
      </c>
      <c r="F6" s="3">
        <v>2250</v>
      </c>
      <c r="G6" s="3">
        <v>3</v>
      </c>
      <c r="H6" s="3">
        <v>450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68</v>
      </c>
      <c r="S6">
        <v>360</v>
      </c>
      <c r="T6" s="3">
        <v>3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65</v>
      </c>
      <c r="C7" s="4" t="s">
        <v>134</v>
      </c>
      <c r="D7" s="3" t="s">
        <v>34</v>
      </c>
      <c r="E7" s="3" t="s">
        <v>135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2.41</v>
      </c>
      <c r="N7" s="3" t="b">
        <f>FALSE()</f>
        <v>0</v>
      </c>
      <c r="O7" s="3"/>
      <c r="P7" s="3">
        <v>32</v>
      </c>
      <c r="Q7" s="3">
        <v>3750</v>
      </c>
      <c r="R7" s="7" t="s">
        <v>114</v>
      </c>
      <c r="T7" s="3">
        <v>3</v>
      </c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65</v>
      </c>
      <c r="C8" s="16" t="s">
        <v>136</v>
      </c>
      <c r="D8" s="2" t="s">
        <v>34</v>
      </c>
      <c r="E8" s="2" t="s">
        <v>137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2.85</v>
      </c>
      <c r="N8" s="2" t="b">
        <f>FALSE()</f>
        <v>0</v>
      </c>
      <c r="P8" s="2">
        <v>45.2</v>
      </c>
      <c r="Q8" s="2">
        <v>3700</v>
      </c>
      <c r="R8" s="14" t="s">
        <v>138</v>
      </c>
      <c r="T8" s="3">
        <v>3</v>
      </c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65</v>
      </c>
      <c r="C9" s="4" t="s">
        <v>139</v>
      </c>
      <c r="D9" s="3" t="s">
        <v>25</v>
      </c>
      <c r="E9" s="3" t="s">
        <v>140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122</v>
      </c>
      <c r="T9" s="3">
        <v>3</v>
      </c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65</v>
      </c>
      <c r="C10" s="9" t="s">
        <v>69</v>
      </c>
      <c r="D10" s="3" t="s">
        <v>54</v>
      </c>
      <c r="E10" s="2" t="s">
        <v>70</v>
      </c>
      <c r="F10" s="3">
        <v>1750</v>
      </c>
      <c r="G10" s="3">
        <v>4</v>
      </c>
      <c r="H10" s="3">
        <v>619</v>
      </c>
      <c r="I10" s="3">
        <v>3.7</v>
      </c>
      <c r="J10" s="3">
        <v>0.3</v>
      </c>
      <c r="K10" s="3">
        <v>1.4</v>
      </c>
      <c r="L10" s="3">
        <v>1.02</v>
      </c>
      <c r="M10" s="3">
        <v>2.56</v>
      </c>
      <c r="N10" s="3" t="b">
        <f>TRUE()</f>
        <v>1</v>
      </c>
      <c r="O10" s="3" t="s">
        <v>48</v>
      </c>
      <c r="P10" s="3">
        <v>371</v>
      </c>
      <c r="Q10" s="3">
        <v>4050</v>
      </c>
      <c r="R10" s="8" t="s">
        <v>71</v>
      </c>
      <c r="S10">
        <v>496</v>
      </c>
      <c r="T10" s="3">
        <v>3</v>
      </c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65</v>
      </c>
      <c r="C11" s="13" t="s">
        <v>141</v>
      </c>
      <c r="D11" s="3" t="s">
        <v>25</v>
      </c>
      <c r="E11" s="2" t="s">
        <v>142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83</v>
      </c>
      <c r="T11" s="3">
        <v>3</v>
      </c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65</v>
      </c>
      <c r="C12" s="10" t="s">
        <v>143</v>
      </c>
      <c r="D12" s="3" t="s">
        <v>25</v>
      </c>
      <c r="E12" s="2" t="s">
        <v>144</v>
      </c>
      <c r="F12" s="3">
        <v>7220</v>
      </c>
      <c r="G12" s="3">
        <v>3</v>
      </c>
      <c r="H12" s="3">
        <v>2850</v>
      </c>
      <c r="I12" s="3">
        <v>5.9</v>
      </c>
      <c r="J12" s="3">
        <v>0.5</v>
      </c>
      <c r="K12" s="3">
        <v>0.7</v>
      </c>
      <c r="L12" s="3">
        <v>1.28</v>
      </c>
      <c r="M12" s="3">
        <v>4.03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145</v>
      </c>
      <c r="T12" s="3">
        <v>3</v>
      </c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65</v>
      </c>
      <c r="C13" s="10" t="s">
        <v>146</v>
      </c>
      <c r="D13" s="3" t="s">
        <v>25</v>
      </c>
      <c r="E13" s="2" t="s">
        <v>147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4.29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148</v>
      </c>
      <c r="S13" s="7"/>
      <c r="T13" s="3">
        <v>3</v>
      </c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topLeftCell="E1" zoomScale="130" zoomScaleNormal="130" workbookViewId="0">
      <selection activeCell="U1" sqref="U1"/>
    </sheetView>
  </sheetViews>
  <sheetFormatPr defaultColWidth="11.37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 t="s">
        <v>75</v>
      </c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72</v>
      </c>
      <c r="C2" s="4" t="s">
        <v>149</v>
      </c>
      <c r="D2" s="3" t="s">
        <v>25</v>
      </c>
      <c r="E2" s="3" t="s">
        <v>150</v>
      </c>
      <c r="F2" s="3">
        <v>6250</v>
      </c>
      <c r="G2" s="3">
        <v>3</v>
      </c>
      <c r="H2" s="3">
        <v>3500</v>
      </c>
      <c r="I2" s="3">
        <v>6</v>
      </c>
      <c r="J2" s="3"/>
      <c r="K2" s="3">
        <v>1.2</v>
      </c>
      <c r="L2" s="3">
        <v>1</v>
      </c>
      <c r="M2" s="3">
        <v>3.2</v>
      </c>
      <c r="N2" s="3" t="b">
        <f>FALSE()</f>
        <v>0</v>
      </c>
      <c r="O2" s="7"/>
      <c r="P2" s="3">
        <v>74.8</v>
      </c>
      <c r="Q2" s="3">
        <v>5000</v>
      </c>
      <c r="R2" s="8" t="s">
        <v>151</v>
      </c>
      <c r="T2" s="7">
        <v>3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72</v>
      </c>
      <c r="C3" s="4" t="s">
        <v>152</v>
      </c>
      <c r="D3" s="3" t="s">
        <v>34</v>
      </c>
      <c r="E3" s="3" t="s">
        <v>153</v>
      </c>
      <c r="F3" s="3">
        <v>10000</v>
      </c>
      <c r="G3" s="3">
        <v>1</v>
      </c>
      <c r="H3" s="3">
        <v>2888</v>
      </c>
      <c r="I3" s="3">
        <v>1.9</v>
      </c>
      <c r="J3" s="3"/>
      <c r="K3" s="3">
        <v>1.2</v>
      </c>
      <c r="L3" s="3">
        <v>1.4</v>
      </c>
      <c r="M3" s="3">
        <v>2.85</v>
      </c>
      <c r="N3" s="3" t="b">
        <f>FALSE()</f>
        <v>0</v>
      </c>
      <c r="O3" s="7"/>
      <c r="P3" s="3">
        <v>91</v>
      </c>
      <c r="Q3" s="3">
        <v>5400</v>
      </c>
      <c r="R3" s="8" t="s">
        <v>154</v>
      </c>
      <c r="T3" s="7">
        <v>3</v>
      </c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72</v>
      </c>
      <c r="C4" s="10" t="s">
        <v>155</v>
      </c>
      <c r="D4" s="3" t="s">
        <v>25</v>
      </c>
      <c r="E4" s="2" t="s">
        <v>156</v>
      </c>
      <c r="F4" s="3">
        <v>9750</v>
      </c>
      <c r="G4" s="3">
        <v>2</v>
      </c>
      <c r="H4" s="3">
        <v>5250</v>
      </c>
      <c r="I4" s="3">
        <v>4.4000000000000004</v>
      </c>
      <c r="J4" s="3">
        <v>4</v>
      </c>
      <c r="K4" s="3">
        <v>1.2</v>
      </c>
      <c r="L4" s="3">
        <v>1.7</v>
      </c>
      <c r="M4" s="3">
        <v>4.3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157</v>
      </c>
      <c r="T4" s="7">
        <v>3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72</v>
      </c>
      <c r="C5" s="10" t="s">
        <v>158</v>
      </c>
      <c r="D5" s="3" t="s">
        <v>34</v>
      </c>
      <c r="E5" s="2" t="s">
        <v>159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5150</v>
      </c>
      <c r="R5" s="8" t="s">
        <v>160</v>
      </c>
      <c r="T5" s="7">
        <v>3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1250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491</v>
      </c>
      <c r="Q6" s="3">
        <v>5100</v>
      </c>
      <c r="R6" s="8" t="s">
        <v>71</v>
      </c>
      <c r="S6">
        <v>750</v>
      </c>
      <c r="T6" s="7">
        <v>3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72</v>
      </c>
      <c r="C7" s="10" t="s">
        <v>161</v>
      </c>
      <c r="D7" s="3" t="s">
        <v>34</v>
      </c>
      <c r="E7" s="3" t="s">
        <v>162</v>
      </c>
      <c r="F7" s="3">
        <v>18750</v>
      </c>
      <c r="G7" s="3">
        <v>1</v>
      </c>
      <c r="H7" s="3">
        <v>2500</v>
      </c>
      <c r="I7" s="3">
        <v>1.9</v>
      </c>
      <c r="J7" s="3">
        <v>2.4</v>
      </c>
      <c r="K7" s="3">
        <v>1.3</v>
      </c>
      <c r="L7" s="3">
        <v>1.8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165</v>
      </c>
      <c r="T7" s="7">
        <v>3</v>
      </c>
      <c r="U7" s="7"/>
      <c r="V7" s="7"/>
      <c r="W7" s="7"/>
      <c r="X7" s="7"/>
      <c r="Y7" s="7"/>
      <c r="Z7" s="7"/>
      <c r="AA7" s="7"/>
    </row>
    <row r="8" spans="1:27" ht="12.75" x14ac:dyDescent="0.2">
      <c r="A8" s="20">
        <v>125004</v>
      </c>
      <c r="B8" s="20" t="s">
        <v>72</v>
      </c>
      <c r="C8" s="18" t="s">
        <v>176</v>
      </c>
      <c r="D8" s="19" t="s">
        <v>179</v>
      </c>
      <c r="E8" s="20" t="s">
        <v>184</v>
      </c>
      <c r="F8" s="20">
        <v>9250</v>
      </c>
      <c r="G8" s="20">
        <v>2</v>
      </c>
      <c r="H8" s="20">
        <v>3850</v>
      </c>
      <c r="I8" s="20">
        <v>1.9</v>
      </c>
      <c r="J8" s="21"/>
      <c r="K8" s="20">
        <v>1.7</v>
      </c>
      <c r="L8" s="20">
        <v>0.9</v>
      </c>
      <c r="M8" s="20">
        <v>2.8</v>
      </c>
      <c r="N8" s="20" t="b">
        <v>0</v>
      </c>
      <c r="P8" s="20">
        <v>555.5</v>
      </c>
      <c r="Q8" s="20">
        <v>6200</v>
      </c>
      <c r="R8" s="7" t="s">
        <v>181</v>
      </c>
      <c r="S8" s="7"/>
      <c r="T8" s="7">
        <v>3</v>
      </c>
      <c r="U8" s="7"/>
      <c r="V8" s="7"/>
      <c r="W8" s="7"/>
      <c r="X8" s="7"/>
      <c r="Y8" s="7"/>
      <c r="Z8" s="7"/>
      <c r="AA8" s="7"/>
    </row>
    <row r="9" spans="1:27" ht="12.75" x14ac:dyDescent="0.2">
      <c r="A9" s="20">
        <v>125005</v>
      </c>
      <c r="B9" s="20" t="s">
        <v>72</v>
      </c>
      <c r="C9" s="18" t="s">
        <v>177</v>
      </c>
      <c r="D9" s="20" t="s">
        <v>179</v>
      </c>
      <c r="E9" s="20" t="s">
        <v>185</v>
      </c>
      <c r="F9" s="20">
        <v>7500</v>
      </c>
      <c r="G9" s="20">
        <v>3</v>
      </c>
      <c r="H9" s="20">
        <v>2975</v>
      </c>
      <c r="I9" s="20">
        <v>1.9</v>
      </c>
      <c r="J9" s="21">
        <v>2.4</v>
      </c>
      <c r="K9" s="20">
        <v>1.5</v>
      </c>
      <c r="L9" s="20">
        <v>0.9</v>
      </c>
      <c r="M9" s="20">
        <v>4.4000000000000004</v>
      </c>
      <c r="N9" s="20" t="b">
        <v>1</v>
      </c>
      <c r="O9" s="7" t="s">
        <v>180</v>
      </c>
      <c r="P9" s="20">
        <v>473.4</v>
      </c>
      <c r="Q9" s="20">
        <v>5750</v>
      </c>
      <c r="R9" s="7" t="s">
        <v>182</v>
      </c>
      <c r="S9" s="7"/>
      <c r="T9" s="7">
        <v>3</v>
      </c>
      <c r="U9" s="7"/>
      <c r="V9" s="7"/>
      <c r="W9" s="7"/>
      <c r="X9" s="7"/>
      <c r="Y9" s="7"/>
      <c r="Z9" s="7"/>
      <c r="AA9" s="7"/>
    </row>
    <row r="10" spans="1:27" ht="12.75" x14ac:dyDescent="0.2">
      <c r="A10" s="20">
        <v>125006</v>
      </c>
      <c r="B10" s="20" t="s">
        <v>72</v>
      </c>
      <c r="C10" s="18" t="s">
        <v>178</v>
      </c>
      <c r="D10" s="20" t="s">
        <v>179</v>
      </c>
      <c r="E10" s="20" t="s">
        <v>186</v>
      </c>
      <c r="F10" s="20">
        <v>8125</v>
      </c>
      <c r="G10" s="20">
        <v>3</v>
      </c>
      <c r="H10" s="20">
        <v>3660</v>
      </c>
      <c r="I10" s="20">
        <v>1.9</v>
      </c>
      <c r="J10" s="21"/>
      <c r="K10" s="20">
        <v>3.8</v>
      </c>
      <c r="L10" s="20">
        <v>0.9</v>
      </c>
      <c r="M10" s="20">
        <v>2.8</v>
      </c>
      <c r="N10" s="20" t="b">
        <v>0</v>
      </c>
      <c r="O10" s="7"/>
      <c r="P10" s="20">
        <v>548.1</v>
      </c>
      <c r="Q10" s="20">
        <v>5925</v>
      </c>
      <c r="R10" s="7" t="s">
        <v>183</v>
      </c>
      <c r="S10" s="7"/>
      <c r="T10" s="7">
        <v>3</v>
      </c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zoomScale="115" zoomScaleNormal="115" workbookViewId="0">
      <selection activeCell="O9" sqref="O9"/>
    </sheetView>
  </sheetViews>
  <sheetFormatPr defaultColWidth="7.875" defaultRowHeight="12.75" customHeight="1" x14ac:dyDescent="0.2"/>
  <cols>
    <col min="1" max="1" width="13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</row>
    <row r="2" spans="1:19" ht="12.75" customHeight="1" x14ac:dyDescent="0.25">
      <c r="A2" s="2">
        <v>180001</v>
      </c>
      <c r="B2" s="2" t="s">
        <v>59</v>
      </c>
      <c r="C2" s="15" t="s">
        <v>163</v>
      </c>
      <c r="D2" s="2" t="s">
        <v>34</v>
      </c>
      <c r="E2" s="2" t="s">
        <v>164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WON JIN LEE</cp:lastModifiedBy>
  <cp:revision>1</cp:revision>
  <dcterms:modified xsi:type="dcterms:W3CDTF">2025-12-09T05:16:11Z</dcterms:modified>
  <dc:language>ko-KR</dc:language>
</cp:coreProperties>
</file>